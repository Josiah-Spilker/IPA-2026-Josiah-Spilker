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codeName="ThisWorkbook"/>
  <xr:revisionPtr revIDLastSave="0" documentId="13_ncr:1_{2EAEEAFC-4AE9-480A-8C16-2563DB8030EE}" xr6:coauthVersionLast="47" xr6:coauthVersionMax="47" xr10:uidLastSave="{00000000-0000-0000-0000-000000000000}"/>
  <bookViews>
    <workbookView xWindow="14295" yWindow="0" windowWidth="29010" windowHeight="15585" xr2:uid="{00000000-000D-0000-FFFF-FFFF00000000}"/>
  </bookViews>
  <sheets>
    <sheet name="Projektplan" sheetId="11" r:id="rId1"/>
    <sheet name="Sheet1" sheetId="15" r:id="rId2"/>
    <sheet name="Soll Projektplan" sheetId="14" r:id="rId3"/>
    <sheet name="Info" sheetId="12" r:id="rId4"/>
  </sheets>
  <definedNames>
    <definedName name="Anzeigewoche" localSheetId="2">'Soll Projektplan'!#REF!</definedName>
    <definedName name="Anzeigewoche">Projektplan!#REF!</definedName>
    <definedName name="Heute" localSheetId="0">TODAY()</definedName>
    <definedName name="Heute" localSheetId="2">TODAY()</definedName>
    <definedName name="_xlnm.Print_Titles" localSheetId="0">Projektplan!$5:$6</definedName>
    <definedName name="_xlnm.Print_Titles" localSheetId="2">'Soll Projektplan'!$5:$6</definedName>
    <definedName name="Projektanfang" localSheetId="2">'Soll Projektplan'!#REF!</definedName>
    <definedName name="Projektanfang">Projektplan!#REF!</definedName>
    <definedName name="task_end" localSheetId="0">Projektplan!#REF!</definedName>
    <definedName name="task_end" localSheetId="2">'Soll Projektplan'!#REF!</definedName>
    <definedName name="task_progress" localSheetId="0">Projektplan!$B1</definedName>
    <definedName name="task_progress" localSheetId="2">'Soll Projektplan'!$B1</definedName>
    <definedName name="task_start" localSheetId="0">Projektplan!#REF!</definedName>
    <definedName name="task_start" localSheetId="2">'Soll Projektplan'!#REF!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6" i="11" l="1"/>
  <c r="D35" i="11"/>
  <c r="D34" i="11"/>
  <c r="D33" i="11"/>
  <c r="C32" i="11"/>
  <c r="B32" i="11"/>
  <c r="D31" i="11"/>
  <c r="D28" i="11" s="1"/>
  <c r="D30" i="11"/>
  <c r="D29" i="11"/>
  <c r="C28" i="11"/>
  <c r="B28" i="11"/>
  <c r="D27" i="11"/>
  <c r="D26" i="11"/>
  <c r="D25" i="11"/>
  <c r="D24" i="11"/>
  <c r="D23" i="11"/>
  <c r="D22" i="11"/>
  <c r="D21" i="11"/>
  <c r="D20" i="11"/>
  <c r="C19" i="11"/>
  <c r="B19" i="11"/>
  <c r="D18" i="11"/>
  <c r="D17" i="11"/>
  <c r="C17" i="11"/>
  <c r="B17" i="11"/>
  <c r="D16" i="11"/>
  <c r="D15" i="11"/>
  <c r="D14" i="11"/>
  <c r="D13" i="11"/>
  <c r="D12" i="11" s="1"/>
  <c r="C12" i="11"/>
  <c r="B12" i="11"/>
  <c r="D11" i="11"/>
  <c r="D10" i="11"/>
  <c r="D9" i="11"/>
  <c r="B8" i="11" s="1"/>
  <c r="D8" i="11"/>
  <c r="C8" i="11"/>
  <c r="D7" i="11"/>
  <c r="AO4" i="11"/>
  <c r="AK4" i="11"/>
  <c r="AG4" i="11"/>
  <c r="AC4" i="11"/>
  <c r="Y4" i="11"/>
  <c r="U4" i="11"/>
  <c r="Q4" i="11"/>
  <c r="M4" i="11"/>
  <c r="I4" i="11"/>
  <c r="E4" i="11"/>
  <c r="D32" i="11" l="1"/>
  <c r="D19" i="11"/>
  <c r="B51" i="14" l="1"/>
  <c r="B44" i="14"/>
  <c r="B27" i="14"/>
  <c r="B24" i="14"/>
  <c r="B15" i="14"/>
  <c r="B8" i="14"/>
  <c r="AO4" i="14"/>
  <c r="AK4" i="14"/>
  <c r="AG4" i="14"/>
  <c r="AC4" i="14"/>
  <c r="Y4" i="14"/>
  <c r="U4" i="14"/>
  <c r="Q4" i="14"/>
  <c r="M4" i="14"/>
  <c r="I4" i="14"/>
  <c r="E4" i="14"/>
</calcChain>
</file>

<file path=xl/sharedStrings.xml><?xml version="1.0" encoding="utf-8"?>
<sst xmlns="http://schemas.openxmlformats.org/spreadsheetml/2006/main" count="270" uniqueCount="99">
  <si>
    <t>EINFACHES GANTT-DIAGRAMM von Vertex42.com</t>
  </si>
  <si>
    <t>https://www.vertex42.com/ExcelTemplates/simple-gantt-chart.html</t>
  </si>
  <si>
    <t>Über diese Vorlage</t>
  </si>
  <si>
    <t>Diese Vorlage bietet eine einfache Möglichkeit, ein Gantt-Diagramm zu erstellen, um Ihr Projekt zu visualisieren und seine Nachverfolgung zu erleichtern. Geben Sie einfach Ihre Aufgaben sowie das Start- und Enddatum ein; es sind keine Formeln erforderlich. Die Balken im Gantt-Diagramm stellen die Dauer der Aufgabe dar und werden mithilfe bedingtes Formatierungen angezeigt. Fügen Sie neue Aufgaben ein, indem Sie neue Zeilen einfügen.</t>
  </si>
  <si>
    <t>Leitfaden für die Sprachausgabe</t>
  </si>
  <si>
    <t>Diese Arbeitsmappe enthält 2 Arbeitsblätter. 
Arbeitszeittabelle
Info
Die Anweisungen für jedes Arbeitsblatt befinden sich in Spalte A ab Zelle A1 der einzelnen Arbeitsblätter. Sie sind in verborgenem Text geschrieben. Jeder Schritt führt Sie durch die Informationen in der betreffenden Zeile. Jeder nachfolgende Schritt fährt in den Zellen A2, A3 usw. fort, sofern nicht ausdrücklich anders angegeben. Beispielsweise kann der Anweisungstext etwa für den nächsten Schritt "Mit Zelle 6 fortfahren" besagen. 
Dieser verborgene Text wird nicht gedruckt.
Um diese Anweisungen aus dem Arbeitsblatt zu entfernen, löschen Sie einfach Spalte A.</t>
  </si>
  <si>
    <t>Weitere Hilfe</t>
  </si>
  <si>
    <t>Klicken Sie auf den Link unten, um zu vertex42.com zu gehen und mehr über die Verwendung dieser Vorlage zu erfahren, z. B. wie Tage und Arbeitstage berechnet werden, wie Aufgabenabhängigkeiten erstellt werden, wie die Farben der Balken geändert werden, wie eine Bildlaufleiste hinzugefügt wird, um die Anzeigewoche einfacher zu ändern, wie der in dem Diagramm angezeigte Datumsbereich geändert wird usw.</t>
  </si>
  <si>
    <t>Verwenden des einfachen Gantt-Diagramms</t>
  </si>
  <si>
    <t>Weitere Projektmanagementvorlagen</t>
  </si>
  <si>
    <t>Rufen Sie Vertex42.com auf, um weitere Projektmanagementvorlagen herunterzuladen, einschließlich unterschiedlicher Typen von Projektplänen, Gantt-Diagramme, Aufgabenlisten usw.</t>
  </si>
  <si>
    <t>Projektmanagementvorlagen</t>
  </si>
  <si>
    <t>Informationen zu Vertex42</t>
  </si>
  <si>
    <t>Vertex42.com bietet mehr als 300 professionell entworfene Tabellenkalkulationsvorlagen für die Nutzung im Geschäft, zu Hause und in Bildungseinrichtungen – die meisten können Sie kostenlos herunterladen. Die Sammlung beinhaltet eine Vielzahl von Kalendern, Planern und Zeitplänen sowie Tabellen für die private Finanzkalkulation zur Erstellung von Budgets, Reduzierung von Belastungen und Amortisation von Darlehen.</t>
  </si>
  <si>
    <t>Unternehmen werden bei Rechnungen, Arbeitszeittabellen, Bestandstrackern, Geschäftsberichten und Vorlagen für die Projektplanung fündig. Lehrer und Schüler finden Ressourcen wie Stundenpläne, Klassenbücher und Teilnahmebögen. Organisieren Sie Ihr Familienleben mit Speiseplänen, Checklisten und Übungsprotokollen. Jede Vorlage wurde gründlich recherchiert, verfeinert und im Lauf der Zeit anhand des Feedbacks von Tausenden von Benutzern verbessert.</t>
  </si>
  <si>
    <t>Godiz ag</t>
  </si>
  <si>
    <t>Josiah Spilker</t>
  </si>
  <si>
    <t>Task</t>
  </si>
  <si>
    <t>Completion</t>
  </si>
  <si>
    <t>8:00-10:00</t>
  </si>
  <si>
    <t>10:00-12:00</t>
  </si>
  <si>
    <t>13:00-15:00</t>
  </si>
  <si>
    <t>15:00-17:00</t>
  </si>
  <si>
    <t>Legend:</t>
  </si>
  <si>
    <t>Completed</t>
  </si>
  <si>
    <t>Planned</t>
  </si>
  <si>
    <t>Estimate (Hours)</t>
  </si>
  <si>
    <t>T0 : Documentation</t>
  </si>
  <si>
    <t>T1 : Inform</t>
  </si>
  <si>
    <t>T1.1 : Analyze Task Req.</t>
  </si>
  <si>
    <t>T1.2 : Review Dynamics Setup</t>
  </si>
  <si>
    <t>T1.3 : Grasp basic structure</t>
  </si>
  <si>
    <t>T2 : Plan</t>
  </si>
  <si>
    <t>T2.1 : Gantt Diagram</t>
  </si>
  <si>
    <t>T2.3 : Test Plan/Cases</t>
  </si>
  <si>
    <t>T3 : Decide</t>
  </si>
  <si>
    <t>T3.1 : Architecture &amp; Design Decisions</t>
  </si>
  <si>
    <t>T4 : Realise</t>
  </si>
  <si>
    <t>T4.1 : Implement Dataverse Entities</t>
  </si>
  <si>
    <t>T4.2 : Implement Business Logic</t>
  </si>
  <si>
    <t>T4.3 : Configure Model Driven App</t>
  </si>
  <si>
    <t>T4.4 : Develop Warning Cloud Flow</t>
  </si>
  <si>
    <t>T4.5 : Develop Auto-close Cloud Flow</t>
  </si>
  <si>
    <t>T4.6 : Create Weekly Cost Overview Flow</t>
  </si>
  <si>
    <t>T5 : Control</t>
  </si>
  <si>
    <t>T5.2 : Bugfixing &amp; Refinement</t>
  </si>
  <si>
    <t>T6 : Evaluate</t>
  </si>
  <si>
    <t>T6.1 : Write Reflection etc.</t>
  </si>
  <si>
    <t>T6.2 :  Finalize Report</t>
  </si>
  <si>
    <t>T6.3 : Project Handover &amp; Review</t>
  </si>
  <si>
    <t>T4.7 : Export Managed Solution</t>
  </si>
  <si>
    <t>T4.8 : Implement Visuals</t>
  </si>
  <si>
    <t>T5.1 : Create / Execute Functional Test Cases</t>
  </si>
  <si>
    <t>T5.2 : Robustness &amp; Negative Testing</t>
  </si>
  <si>
    <t>T6.3 :  Plan vs. Actual Analysis</t>
  </si>
  <si>
    <t>Total (Hours)</t>
  </si>
  <si>
    <t>Cost Control Components</t>
  </si>
  <si>
    <t>T2.4 : Create UML Diagrams</t>
  </si>
  <si>
    <t>T2.2 : Create ERM Model</t>
  </si>
  <si>
    <t>Overtime</t>
  </si>
  <si>
    <t>Absent</t>
  </si>
  <si>
    <t>T4.8 : Export Managed Solution</t>
  </si>
  <si>
    <t>T4.7 : Final checks</t>
  </si>
  <si>
    <t>T6.4 : Project Handover &amp; Review</t>
  </si>
  <si>
    <t>T5.3 : Bugfixing &amp; Refinement</t>
  </si>
  <si>
    <t>Justification</t>
  </si>
  <si>
    <t>15.00 h</t>
  </si>
  <si>
    <t>18.25 h</t>
  </si>
  <si>
    <t>+ 3.25 h</t>
  </si>
  <si>
    <t>Underestimated effort for final report compilation, formatting, and Gantt chart integration.</t>
  </si>
  <si>
    <t>4.75 h</t>
  </si>
  <si>
    <t>3.25 h</t>
  </si>
  <si>
    <t>- 1.50 h</t>
  </si>
  <si>
    <t>Information gathering was more efficient than anticipated due to prior knowledge.</t>
  </si>
  <si>
    <t>11.00 h</t>
  </si>
  <si>
    <t>7.50 h</t>
  </si>
  <si>
    <t>- 3.50 h</t>
  </si>
  <si>
    <t>Planning was completed faster than scheduled; standard templates accelerated the process.</t>
  </si>
  <si>
    <t>1.00 h</t>
  </si>
  <si>
    <t>0.50 h</t>
  </si>
  <si>
    <t>- 0.50 h</t>
  </si>
  <si>
    <t>Decision-making was straightforward with no major architectural conflicts.</t>
  </si>
  <si>
    <t>22.00 h</t>
  </si>
  <si>
    <t>10.75 h</t>
  </si>
  <si>
    <t>- 11.25 h</t>
  </si>
  <si>
    <t>10.00 h</t>
  </si>
  <si>
    <t>4.50 h</t>
  </si>
  <si>
    <t>- 5.50 h</t>
  </si>
  <si>
    <t>Testing proceeded quickly as no major bugs required extensive reworking.</t>
  </si>
  <si>
    <t>8.00 h</t>
  </si>
  <si>
    <t>6.50 h</t>
  </si>
  <si>
    <t>Evaluation was completed within the scheduled timeframe.</t>
  </si>
  <si>
    <t>Total</t>
  </si>
  <si>
    <t>71.75 h</t>
  </si>
  <si>
    <t>51.25 h</t>
  </si>
  <si>
    <t>- 20.50 h</t>
  </si>
  <si>
    <t>Deviation (Hours)</t>
  </si>
  <si>
    <t>Project completed significantly before schedule.</t>
  </si>
  <si>
    <t>Slight deviation. The "Low-Code" nature of Dataverse allowed for extremely rapid implementation of entities and flows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</si>
</sst>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1" formatCode="_ * #,##0_ ;_ * \-#,##0_ ;_ * &quot;-&quot;_ ;_ @_ "/>
    <numFmt numFmtId="43" formatCode="_ * #,##0.00_ ;_ * \-#,##0.00_ ;_ * &quot;-&quot;??_ ;_ @_ "/>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d/m/yy;@"/>
    <numFmt numFmtId="169" formatCode="ddd\,\ d/m/yyyy"/>
    <numFmt numFmtId="170" formatCode="d/\ mmm\ yyyy"/>
  </numFmts>
  <fonts count="35"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b/>
      <sz val="10"/>
      <color theme="0"/>
      <name val="Calibri"/>
      <family val="2"/>
      <scheme val="minor"/>
    </font>
    <font>
      <sz val="10"/>
      <color theme="0"/>
      <name val="Calibri"/>
      <family val="2"/>
      <scheme val="minor"/>
    </font>
    <font>
      <sz val="10"/>
      <color theme="1"/>
      <name val="Calibri"/>
      <family val="2"/>
      <scheme val="minor"/>
    </font>
    <font>
      <sz val="18"/>
      <color theme="1"/>
      <name val="Calibri"/>
      <family val="2"/>
      <scheme val="minor"/>
    </font>
    <font>
      <sz val="12"/>
      <color theme="1"/>
      <name val="Calibri"/>
      <family val="2"/>
      <scheme val="minor"/>
    </font>
    <font>
      <sz val="10"/>
      <color theme="1"/>
      <name val="Arial"/>
      <family val="2"/>
    </font>
    <font>
      <b/>
      <sz val="10"/>
      <color theme="1"/>
      <name val="Calibri"/>
      <family val="2"/>
      <scheme val="minor"/>
    </font>
  </fonts>
  <fills count="5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rgb="FFA8E2C8"/>
        <bgColor indexed="64"/>
      </patternFill>
    </fill>
    <fill>
      <patternFill patternType="solid">
        <fgColor rgb="FFCBF1DC"/>
        <bgColor indexed="64"/>
      </patternFill>
    </fill>
    <fill>
      <patternFill patternType="solid">
        <fgColor rgb="FFFAF9BD"/>
        <bgColor indexed="64"/>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rgb="FFEAEAEA"/>
        <bgColor indexed="64"/>
      </patternFill>
    </fill>
    <fill>
      <patternFill patternType="solid">
        <fgColor theme="0" tint="-0.249977111117893"/>
        <bgColor indexed="64"/>
      </patternFill>
    </fill>
    <fill>
      <patternFill patternType="solid">
        <fgColor theme="3" tint="0.79998168889431442"/>
        <bgColor indexed="64"/>
      </patternFill>
    </fill>
  </fills>
  <borders count="6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bottom style="thin">
        <color indexed="64"/>
      </bottom>
      <diagonal/>
    </border>
    <border>
      <left/>
      <right/>
      <top style="thin">
        <color indexed="64"/>
      </top>
      <bottom/>
      <diagonal/>
    </border>
    <border>
      <left/>
      <right/>
      <top/>
      <bottom style="medium">
        <color theme="0" tint="-0.14996795556505021"/>
      </bottom>
      <diagonal/>
    </border>
    <border>
      <left/>
      <right style="thin">
        <color indexed="64"/>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indexed="64"/>
      </right>
      <top style="medium">
        <color theme="0" tint="-0.14996795556505021"/>
      </top>
      <bottom style="medium">
        <color theme="0" tint="-0.14996795556505021"/>
      </bottom>
      <diagonal/>
    </border>
    <border>
      <left/>
      <right/>
      <top/>
      <bottom style="thin">
        <color indexed="64"/>
      </bottom>
      <diagonal/>
    </border>
    <border>
      <left/>
      <right style="thin">
        <color indexed="64"/>
      </right>
      <top/>
      <bottom style="medium">
        <color theme="0" tint="-0.14996795556505021"/>
      </bottom>
      <diagonal/>
    </border>
    <border>
      <left/>
      <right style="thin">
        <color theme="0" tint="-0.14993743705557422"/>
      </right>
      <top/>
      <bottom style="medium">
        <color theme="0" tint="-0.14996795556505021"/>
      </bottom>
      <diagonal/>
    </border>
    <border>
      <left style="thin">
        <color theme="0" tint="-0.14993743705557422"/>
      </left>
      <right style="thin">
        <color theme="0" tint="-0.14993743705557422"/>
      </right>
      <top/>
      <bottom style="medium">
        <color theme="0" tint="-0.14996795556505021"/>
      </bottom>
      <diagonal/>
    </border>
    <border>
      <left style="thin">
        <color theme="0" tint="-0.14993743705557422"/>
      </left>
      <right style="thin">
        <color indexed="64"/>
      </right>
      <top/>
      <bottom style="medium">
        <color theme="0" tint="-0.14996795556505021"/>
      </bottom>
      <diagonal/>
    </border>
    <border>
      <left/>
      <right/>
      <top style="medium">
        <color theme="0" tint="-0.14996795556505021"/>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indexed="64"/>
      </right>
      <top style="medium">
        <color theme="0" tint="-0.14996795556505021"/>
      </top>
      <bottom style="thin">
        <color indexed="64"/>
      </bottom>
      <diagonal/>
    </border>
    <border>
      <left/>
      <right style="thin">
        <color theme="0" tint="-0.14993743705557422"/>
      </right>
      <top style="medium">
        <color theme="0" tint="-0.14996795556505021"/>
      </top>
      <bottom style="thin">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theme="0" tint="-0.14996795556505021"/>
      </top>
      <bottom/>
      <diagonal/>
    </border>
    <border>
      <left style="thin">
        <color indexed="64"/>
      </left>
      <right style="thin">
        <color indexed="64"/>
      </right>
      <top/>
      <bottom style="medium">
        <color theme="0" tint="-0.14996795556505021"/>
      </bottom>
      <diagonal/>
    </border>
    <border>
      <left/>
      <right/>
      <top style="thin">
        <color indexed="64"/>
      </top>
      <bottom style="medium">
        <color theme="0" tint="-0.14996795556505021"/>
      </bottom>
      <diagonal/>
    </border>
    <border>
      <left/>
      <right/>
      <top style="medium">
        <color theme="0" tint="-0.14996795556505021"/>
      </top>
      <bottom/>
      <diagonal/>
    </border>
    <border>
      <left style="thin">
        <color theme="0" tint="-0.14993743705557422"/>
      </left>
      <right style="thin">
        <color theme="0" tint="-0.14993743705557422"/>
      </right>
      <top style="medium">
        <color theme="0" tint="-0.14996795556505021"/>
      </top>
      <bottom/>
      <diagonal/>
    </border>
    <border>
      <left style="thin">
        <color theme="0" tint="-0.14993743705557422"/>
      </left>
      <right style="thin">
        <color indexed="64"/>
      </right>
      <top style="medium">
        <color theme="0" tint="-0.14996795556505021"/>
      </top>
      <bottom/>
      <diagonal/>
    </border>
    <border>
      <left/>
      <right style="thin">
        <color theme="0" tint="-0.14993743705557422"/>
      </right>
      <top style="medium">
        <color theme="0" tint="-0.14996795556505021"/>
      </top>
      <bottom/>
      <diagonal/>
    </border>
    <border>
      <left style="thin">
        <color theme="0" tint="-0.14993743705557422"/>
      </left>
      <right style="thin">
        <color theme="0" tint="-0.14993743705557422"/>
      </right>
      <top style="thin">
        <color indexed="64"/>
      </top>
      <bottom style="medium">
        <color theme="0" tint="-0.14996795556505021"/>
      </bottom>
      <diagonal/>
    </border>
    <border>
      <left/>
      <right style="thin">
        <color indexed="64"/>
      </right>
      <top style="thin">
        <color indexed="64"/>
      </top>
      <bottom style="medium">
        <color theme="0" tint="-0.14996795556505021"/>
      </bottom>
      <diagonal/>
    </border>
    <border>
      <left/>
      <right style="thin">
        <color theme="0" tint="-0.14993743705557422"/>
      </right>
      <top style="thin">
        <color indexed="64"/>
      </top>
      <bottom style="medium">
        <color theme="0" tint="-0.14996795556505021"/>
      </bottom>
      <diagonal/>
    </border>
    <border>
      <left style="thin">
        <color indexed="64"/>
      </left>
      <right style="thin">
        <color indexed="64"/>
      </right>
      <top style="medium">
        <color theme="0" tint="-0.14996795556505021"/>
      </top>
      <bottom style="medium">
        <color theme="0" tint="-0.14996795556505021"/>
      </bottom>
      <diagonal/>
    </border>
    <border>
      <left style="thin">
        <color indexed="64"/>
      </left>
      <right style="thin">
        <color indexed="64"/>
      </right>
      <top style="medium">
        <color theme="0" tint="-0.14996795556505021"/>
      </top>
      <bottom style="thin">
        <color indexed="64"/>
      </bottom>
      <diagonal/>
    </border>
    <border>
      <left style="thin">
        <color indexed="64"/>
      </left>
      <right style="thin">
        <color indexed="64"/>
      </right>
      <top style="thin">
        <color indexed="64"/>
      </top>
      <bottom style="medium">
        <color theme="0" tint="-0.14996795556505021"/>
      </bottom>
      <diagonal/>
    </border>
    <border>
      <left style="thin">
        <color theme="0" tint="-0.249977111117893"/>
      </left>
      <right style="thin">
        <color theme="0" tint="-0.249977111117893"/>
      </right>
      <top style="medium">
        <color theme="0" tint="-0.14996795556505021"/>
      </top>
      <bottom style="medium">
        <color theme="0" tint="-0.14996795556505021"/>
      </bottom>
      <diagonal/>
    </border>
    <border>
      <left style="thin">
        <color theme="0" tint="-0.249977111117893"/>
      </left>
      <right style="thin">
        <color theme="0" tint="-0.249977111117893"/>
      </right>
      <top style="medium">
        <color theme="0" tint="-0.14996795556505021"/>
      </top>
      <bottom style="thin">
        <color indexed="64"/>
      </bottom>
      <diagonal/>
    </border>
    <border>
      <left style="thin">
        <color theme="0" tint="-0.249977111117893"/>
      </left>
      <right style="thin">
        <color theme="0" tint="-0.249977111117893"/>
      </right>
      <top/>
      <bottom style="medium">
        <color theme="0" tint="-0.14996795556505021"/>
      </bottom>
      <diagonal/>
    </border>
    <border>
      <left style="thin">
        <color theme="0" tint="-0.249977111117893"/>
      </left>
      <right style="thin">
        <color theme="0" tint="-0.249977111117893"/>
      </right>
      <top style="medium">
        <color theme="0" tint="-0.14996795556505021"/>
      </top>
      <bottom/>
      <diagonal/>
    </border>
    <border>
      <left style="thin">
        <color theme="0" tint="-0.249977111117893"/>
      </left>
      <right style="thin">
        <color theme="0" tint="-0.249977111117893"/>
      </right>
      <top style="thin">
        <color indexed="64"/>
      </top>
      <bottom style="medium">
        <color theme="0" tint="-0.14996795556505021"/>
      </bottom>
      <diagonal/>
    </border>
    <border>
      <left style="thin">
        <color theme="0" tint="-0.14993743705557422"/>
      </left>
      <right style="thin">
        <color theme="1"/>
      </right>
      <top style="medium">
        <color theme="0" tint="-0.14996795556505021"/>
      </top>
      <bottom style="medium">
        <color theme="0" tint="-0.14996795556505021"/>
      </bottom>
      <diagonal/>
    </border>
    <border>
      <left style="thin">
        <color theme="0" tint="-0.34998626667073579"/>
      </left>
      <right/>
      <top style="thin">
        <color indexed="64"/>
      </top>
      <bottom/>
      <diagonal/>
    </border>
    <border>
      <left/>
      <right style="thin">
        <color theme="0" tint="-0.34998626667073579"/>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0" tint="-0.34998626667073579"/>
      </top>
      <bottom style="thin">
        <color indexed="64"/>
      </bottom>
      <diagonal/>
    </border>
    <border>
      <left style="thin">
        <color theme="0" tint="-0.34998626667073579"/>
      </left>
      <right style="thin">
        <color theme="0" tint="-0.34998626667073579"/>
      </right>
      <top/>
      <bottom style="thin">
        <color indexed="64"/>
      </bottom>
      <diagonal/>
    </border>
    <border>
      <left style="thin">
        <color theme="0" tint="-0.34998626667073579"/>
      </left>
      <right/>
      <top/>
      <bottom style="thin">
        <color indexed="64"/>
      </bottom>
      <diagonal/>
    </border>
    <border>
      <left style="thin">
        <color theme="0" tint="-0.14993743705557422"/>
      </left>
      <right style="thin">
        <color indexed="64"/>
      </right>
      <top style="thin">
        <color indexed="64"/>
      </top>
      <bottom style="medium">
        <color theme="0" tint="-0.14996795556505021"/>
      </bottom>
      <diagonal/>
    </border>
    <border>
      <left style="thin">
        <color indexed="64"/>
      </left>
      <right style="thin">
        <color theme="0" tint="-0.14993743705557422"/>
      </right>
      <top style="thin">
        <color indexed="64"/>
      </top>
      <bottom style="medium">
        <color theme="0" tint="-0.14996795556505021"/>
      </bottom>
      <diagonal/>
    </border>
    <border>
      <left style="thin">
        <color theme="0" tint="-0.14993743705557422"/>
      </left>
      <right/>
      <top/>
      <bottom style="medium">
        <color theme="0" tint="-0.14996795556505021"/>
      </bottom>
      <diagonal/>
    </border>
    <border>
      <left style="thin">
        <color indexed="64"/>
      </left>
      <right style="thin">
        <color theme="0" tint="-0.14993743705557422"/>
      </right>
      <top style="medium">
        <color theme="0" tint="-0.14996795556505021"/>
      </top>
      <bottom style="medium">
        <color theme="0" tint="-0.14996795556505021"/>
      </bottom>
      <diagonal/>
    </border>
    <border>
      <left/>
      <right style="thin">
        <color indexed="64"/>
      </right>
      <top style="medium">
        <color theme="0" tint="-0.14996795556505021"/>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theme="0" tint="-0.34998626667073579"/>
      </left>
      <right/>
      <top/>
      <bottom/>
      <diagonal/>
    </border>
    <border>
      <left style="thin">
        <color theme="0" tint="-0.34998626667073579"/>
      </left>
      <right/>
      <top style="thin">
        <color theme="0" tint="-0.34998626667073579"/>
      </top>
      <bottom/>
      <diagonal/>
    </border>
    <border>
      <left/>
      <right style="thin">
        <color indexed="64"/>
      </right>
      <top style="thin">
        <color theme="0" tint="-0.34998626667073579"/>
      </top>
      <bottom/>
      <diagonal/>
    </border>
    <border>
      <left style="thin">
        <color indexed="64"/>
      </left>
      <right style="thin">
        <color theme="0" tint="-0.14993743705557422"/>
      </right>
      <top style="medium">
        <color theme="0" tint="-0.14996795556505021"/>
      </top>
      <bottom style="thin">
        <color indexed="64"/>
      </bottom>
      <diagonal/>
    </border>
    <border>
      <left style="medium">
        <color rgb="FFCCCCCC"/>
      </left>
      <right style="medium">
        <color rgb="FFCCCCCC"/>
      </right>
      <top style="medium">
        <color rgb="FFCCCCCC"/>
      </top>
      <bottom style="medium">
        <color rgb="FFCCCCCC"/>
      </bottom>
      <diagonal/>
    </border>
  </borders>
  <cellStyleXfs count="58">
    <xf numFmtId="0" fontId="0" fillId="0" borderId="0"/>
    <xf numFmtId="0" fontId="2" fillId="0" borderId="0" applyNumberFormat="0" applyFill="0" applyBorder="0" applyAlignment="0" applyProtection="0">
      <alignment vertical="top"/>
      <protection locked="0"/>
    </xf>
    <xf numFmtId="9" fontId="5" fillId="0" borderId="0" applyFont="0" applyFill="0" applyBorder="0" applyAlignment="0" applyProtection="0"/>
    <xf numFmtId="0" fontId="14" fillId="0" borderId="0"/>
    <xf numFmtId="165" fontId="5" fillId="0" borderId="3" applyFont="0" applyFill="0" applyAlignment="0" applyProtection="0"/>
    <xf numFmtId="0" fontId="7" fillId="0" borderId="0" applyNumberFormat="0" applyFill="0" applyBorder="0" applyAlignment="0" applyProtection="0"/>
    <xf numFmtId="0" fontId="6" fillId="0" borderId="0" applyNumberFormat="0" applyFill="0" applyAlignment="0" applyProtection="0"/>
    <xf numFmtId="0" fontId="6" fillId="0" borderId="0" applyNumberFormat="0" applyFill="0" applyProtection="0">
      <alignment vertical="top"/>
    </xf>
    <xf numFmtId="0" fontId="5" fillId="0" borderId="0" applyNumberFormat="0" applyFill="0" applyProtection="0">
      <alignment horizontal="right" indent="1"/>
    </xf>
    <xf numFmtId="169" fontId="5" fillId="0" borderId="3">
      <alignment horizontal="center" vertical="center"/>
    </xf>
    <xf numFmtId="168" fontId="5" fillId="0" borderId="2" applyFill="0">
      <alignment horizontal="center" vertical="center"/>
    </xf>
    <xf numFmtId="0" fontId="5" fillId="0" borderId="2" applyFill="0">
      <alignment horizontal="center" vertical="center"/>
    </xf>
    <xf numFmtId="0" fontId="5" fillId="0" borderId="2" applyFill="0">
      <alignment horizontal="left" vertical="center" indent="2"/>
    </xf>
    <xf numFmtId="0" fontId="15" fillId="0" borderId="0" applyNumberFormat="0" applyFill="0" applyBorder="0" applyAlignment="0" applyProtection="0"/>
    <xf numFmtId="164" fontId="5" fillId="0" borderId="0" applyFont="0" applyFill="0" applyBorder="0" applyAlignment="0" applyProtection="0"/>
    <xf numFmtId="167" fontId="5" fillId="0" borderId="0" applyFont="0" applyFill="0" applyBorder="0" applyAlignment="0" applyProtection="0"/>
    <xf numFmtId="166" fontId="5" fillId="0" borderId="0" applyFont="0" applyFill="0" applyBorder="0" applyAlignment="0" applyProtection="0"/>
    <xf numFmtId="0" fontId="16" fillId="0" borderId="0" applyNumberFormat="0" applyFill="0" applyBorder="0" applyAlignment="0" applyProtection="0"/>
    <xf numFmtId="0" fontId="17" fillId="13" borderId="0" applyNumberFormat="0" applyBorder="0" applyAlignment="0" applyProtection="0"/>
    <xf numFmtId="0" fontId="18" fillId="14" borderId="0" applyNumberFormat="0" applyBorder="0" applyAlignment="0" applyProtection="0"/>
    <xf numFmtId="0" fontId="19" fillId="15" borderId="0" applyNumberFormat="0" applyBorder="0" applyAlignment="0" applyProtection="0"/>
    <xf numFmtId="0" fontId="20" fillId="16" borderId="5" applyNumberFormat="0" applyAlignment="0" applyProtection="0"/>
    <xf numFmtId="0" fontId="21" fillId="17" borderId="6" applyNumberFormat="0" applyAlignment="0" applyProtection="0"/>
    <xf numFmtId="0" fontId="22" fillId="17" borderId="5" applyNumberFormat="0" applyAlignment="0" applyProtection="0"/>
    <xf numFmtId="0" fontId="23" fillId="0" borderId="7" applyNumberFormat="0" applyFill="0" applyAlignment="0" applyProtection="0"/>
    <xf numFmtId="0" fontId="24" fillId="18" borderId="8" applyNumberFormat="0" applyAlignment="0" applyProtection="0"/>
    <xf numFmtId="0" fontId="25" fillId="0" borderId="0" applyNumberFormat="0" applyFill="0" applyBorder="0" applyAlignment="0" applyProtection="0"/>
    <xf numFmtId="0" fontId="5" fillId="19" borderId="9" applyNumberFormat="0" applyFont="0" applyAlignment="0" applyProtection="0"/>
    <xf numFmtId="0" fontId="26" fillId="0" borderId="0" applyNumberFormat="0" applyFill="0" applyBorder="0" applyAlignment="0" applyProtection="0"/>
    <xf numFmtId="0" fontId="4" fillId="0" borderId="10" applyNumberFormat="0" applyFill="0" applyAlignment="0" applyProtection="0"/>
    <xf numFmtId="0" fontId="14" fillId="20" borderId="0" applyNumberFormat="0" applyBorder="0" applyAlignment="0" applyProtection="0"/>
    <xf numFmtId="0" fontId="5" fillId="21" borderId="0" applyNumberFormat="0" applyBorder="0" applyAlignment="0" applyProtection="0"/>
    <xf numFmtId="0" fontId="5" fillId="22" borderId="0" applyNumberFormat="0" applyBorder="0" applyAlignment="0" applyProtection="0"/>
    <xf numFmtId="0" fontId="5" fillId="23" borderId="0" applyNumberFormat="0" applyBorder="0" applyAlignment="0" applyProtection="0"/>
    <xf numFmtId="0" fontId="14" fillId="24" borderId="0" applyNumberFormat="0" applyBorder="0" applyAlignment="0" applyProtection="0"/>
    <xf numFmtId="0" fontId="5" fillId="25" borderId="0" applyNumberFormat="0" applyBorder="0" applyAlignment="0" applyProtection="0"/>
    <xf numFmtId="0" fontId="5" fillId="26" borderId="0" applyNumberFormat="0" applyBorder="0" applyAlignment="0" applyProtection="0"/>
    <xf numFmtId="0" fontId="5" fillId="27" borderId="0" applyNumberFormat="0" applyBorder="0" applyAlignment="0" applyProtection="0"/>
    <xf numFmtId="0" fontId="14" fillId="28" borderId="0" applyNumberFormat="0" applyBorder="0" applyAlignment="0" applyProtection="0"/>
    <xf numFmtId="0" fontId="5"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14"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14" fillId="36" borderId="0" applyNumberFormat="0" applyBorder="0" applyAlignment="0" applyProtection="0"/>
    <xf numFmtId="0" fontId="5" fillId="37"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14" fillId="40" borderId="0" applyNumberFormat="0" applyBorder="0" applyAlignment="0" applyProtection="0"/>
    <xf numFmtId="0" fontId="5"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43" fontId="5" fillId="0" borderId="3" applyFont="0" applyFill="0" applyAlignment="0" applyProtection="0"/>
    <xf numFmtId="41" fontId="5" fillId="0" borderId="0" applyFont="0" applyFill="0" applyBorder="0" applyAlignment="0" applyProtection="0"/>
    <xf numFmtId="43" fontId="5" fillId="0" borderId="3" applyFont="0" applyFill="0" applyAlignment="0" applyProtection="0"/>
    <xf numFmtId="43" fontId="5" fillId="0" borderId="3" applyFont="0" applyFill="0" applyAlignment="0" applyProtection="0"/>
  </cellStyleXfs>
  <cellXfs count="216">
    <xf numFmtId="0" fontId="0" fillId="0" borderId="0" xfId="0"/>
    <xf numFmtId="0" fontId="1" fillId="0" borderId="0" xfId="0" applyFont="1"/>
    <xf numFmtId="0" fontId="0" fillId="0" borderId="0" xfId="0" applyAlignment="1">
      <alignment vertical="center"/>
    </xf>
    <xf numFmtId="0" fontId="3" fillId="0" borderId="2" xfId="0" applyFont="1" applyBorder="1" applyAlignment="1">
      <alignment horizontal="center" vertical="center"/>
    </xf>
    <xf numFmtId="0" fontId="4" fillId="7" borderId="2" xfId="0" applyFont="1" applyFill="1" applyBorder="1" applyAlignment="1">
      <alignment horizontal="left" vertical="center" indent="1"/>
    </xf>
    <xf numFmtId="0" fontId="1" fillId="0" borderId="0" xfId="0" applyFont="1" applyAlignment="1">
      <alignment horizontal="center" vertical="center"/>
    </xf>
    <xf numFmtId="0" fontId="1" fillId="0" borderId="0" xfId="0" applyFont="1" applyAlignment="1">
      <alignment vertical="top"/>
    </xf>
    <xf numFmtId="0" fontId="8" fillId="0" borderId="0" xfId="0" applyFont="1" applyAlignment="1">
      <alignment horizontal="left" vertical="center"/>
    </xf>
    <xf numFmtId="0" fontId="9" fillId="0" borderId="0" xfId="0" applyFont="1" applyAlignment="1">
      <alignment horizontal="left" vertical="center"/>
    </xf>
    <xf numFmtId="0" fontId="11" fillId="0" borderId="0" xfId="0" applyFont="1"/>
    <xf numFmtId="0" fontId="13" fillId="0" borderId="0" xfId="0" applyFont="1" applyAlignment="1">
      <alignment vertical="center"/>
    </xf>
    <xf numFmtId="0" fontId="12" fillId="0" borderId="0" xfId="0" applyFont="1" applyAlignment="1">
      <alignment horizontal="left" vertical="top" wrapText="1" indent="1"/>
    </xf>
    <xf numFmtId="0" fontId="1" fillId="0" borderId="0" xfId="0" applyFont="1" applyAlignment="1">
      <alignment horizontal="left" vertical="top"/>
    </xf>
    <xf numFmtId="0" fontId="10"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7" fillId="0" borderId="0" xfId="5" applyAlignment="1">
      <alignment horizontal="left"/>
    </xf>
    <xf numFmtId="0" fontId="6" fillId="0" borderId="0" xfId="6"/>
    <xf numFmtId="0" fontId="6" fillId="0" borderId="0" xfId="7">
      <alignment vertical="top"/>
    </xf>
    <xf numFmtId="0" fontId="5" fillId="2" borderId="2" xfId="12" applyFill="1">
      <alignment horizontal="left" vertical="center" indent="2"/>
    </xf>
    <xf numFmtId="0" fontId="5" fillId="3" borderId="2" xfId="12" applyFill="1">
      <alignment horizontal="left" vertical="center" indent="2"/>
    </xf>
    <xf numFmtId="0" fontId="5" fillId="10" borderId="2" xfId="12" applyFill="1">
      <alignment horizontal="left" vertical="center" indent="2"/>
    </xf>
    <xf numFmtId="0" fontId="5" fillId="9" borderId="2" xfId="12" applyFill="1">
      <alignment horizontal="left" vertical="center" indent="2"/>
    </xf>
    <xf numFmtId="0" fontId="3" fillId="0" borderId="0" xfId="0" applyFont="1" applyAlignment="1">
      <alignment vertical="top"/>
    </xf>
    <xf numFmtId="0" fontId="5" fillId="46" borderId="2" xfId="12" applyFill="1">
      <alignment horizontal="left" vertical="center" indent="2"/>
    </xf>
    <xf numFmtId="0" fontId="28" fillId="12" borderId="1" xfId="0" applyFont="1" applyFill="1" applyBorder="1" applyAlignment="1">
      <alignment horizontal="center" vertical="center" wrapText="1"/>
    </xf>
    <xf numFmtId="0" fontId="30" fillId="0" borderId="0" xfId="0" applyFont="1"/>
    <xf numFmtId="0" fontId="5" fillId="48" borderId="2" xfId="12" applyFill="1">
      <alignment horizontal="left" vertical="center" indent="2"/>
    </xf>
    <xf numFmtId="0" fontId="5" fillId="0" borderId="0" xfId="8">
      <alignment horizontal="right" indent="1"/>
    </xf>
    <xf numFmtId="0" fontId="3" fillId="0" borderId="14" xfId="0" applyFont="1" applyBorder="1" applyAlignment="1">
      <alignment horizontal="center" vertical="center"/>
    </xf>
    <xf numFmtId="0" fontId="4" fillId="8" borderId="13" xfId="0" applyFont="1" applyFill="1" applyBorder="1" applyAlignment="1">
      <alignment horizontal="left" vertical="center" indent="1"/>
    </xf>
    <xf numFmtId="0" fontId="5" fillId="2" borderId="22" xfId="12" applyFill="1" applyBorder="1">
      <alignment horizontal="left" vertical="center" indent="2"/>
    </xf>
    <xf numFmtId="0" fontId="0" fillId="0" borderId="17" xfId="0" applyBorder="1" applyAlignment="1">
      <alignment vertical="center"/>
    </xf>
    <xf numFmtId="0" fontId="4" fillId="5" borderId="13" xfId="0" applyFont="1" applyFill="1" applyBorder="1" applyAlignment="1">
      <alignment horizontal="left" vertical="center" indent="1"/>
    </xf>
    <xf numFmtId="49" fontId="0" fillId="5" borderId="13" xfId="0" applyNumberFormat="1" applyFill="1" applyBorder="1" applyAlignment="1">
      <alignment horizontal="center" vertical="center"/>
    </xf>
    <xf numFmtId="0" fontId="5" fillId="3" borderId="22" xfId="12" applyFill="1" applyBorder="1">
      <alignment horizontal="left" vertical="center" indent="2"/>
    </xf>
    <xf numFmtId="0" fontId="5" fillId="9" borderId="22" xfId="12" applyFill="1" applyBorder="1">
      <alignment horizontal="left" vertical="center" indent="2"/>
    </xf>
    <xf numFmtId="14" fontId="6" fillId="0" borderId="0" xfId="7" applyNumberFormat="1" applyAlignment="1">
      <alignment horizontal="left" vertical="top"/>
    </xf>
    <xf numFmtId="0" fontId="0" fillId="50" borderId="4" xfId="0" applyFill="1" applyBorder="1" applyAlignment="1">
      <alignment horizontal="center" vertical="center"/>
    </xf>
    <xf numFmtId="0" fontId="0" fillId="0" borderId="4" xfId="0" applyBorder="1" applyAlignment="1">
      <alignment horizontal="center" vertical="center"/>
    </xf>
    <xf numFmtId="0" fontId="4" fillId="7" borderId="2" xfId="0" applyFont="1" applyFill="1" applyBorder="1" applyAlignment="1">
      <alignment horizontal="center" vertical="center"/>
    </xf>
    <xf numFmtId="0" fontId="4" fillId="7" borderId="14" xfId="0" applyFont="1" applyFill="1"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49" fontId="0" fillId="0" borderId="16" xfId="0" applyNumberFormat="1" applyBorder="1" applyAlignment="1">
      <alignment horizontal="center" vertical="center"/>
    </xf>
    <xf numFmtId="49" fontId="0" fillId="0" borderId="4" xfId="0" applyNumberFormat="1" applyBorder="1" applyAlignment="1">
      <alignment horizontal="center"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4" fillId="8" borderId="13" xfId="0" applyFont="1" applyFill="1" applyBorder="1" applyAlignment="1">
      <alignment horizontal="center" vertical="center"/>
    </xf>
    <xf numFmtId="0" fontId="4" fillId="8" borderId="18" xfId="0" applyFont="1" applyFill="1"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5" fillId="46" borderId="31" xfId="12" applyFill="1" applyBorder="1">
      <alignment horizontal="left" vertical="center" indent="2"/>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4" fillId="47" borderId="30" xfId="0" applyFont="1" applyFill="1" applyBorder="1" applyAlignment="1">
      <alignment horizontal="left" vertical="center" indent="1"/>
    </xf>
    <xf numFmtId="49" fontId="3" fillId="47" borderId="30" xfId="0" applyNumberFormat="1" applyFont="1" applyFill="1" applyBorder="1" applyAlignment="1">
      <alignment horizontal="center" vertical="center"/>
    </xf>
    <xf numFmtId="0" fontId="3" fillId="0" borderId="30" xfId="0" applyFont="1" applyBorder="1" applyAlignment="1">
      <alignment horizontal="center" vertical="center"/>
    </xf>
    <xf numFmtId="0" fontId="0" fillId="0" borderId="35" xfId="0" applyBorder="1" applyAlignment="1">
      <alignment horizontal="center" vertical="center"/>
    </xf>
    <xf numFmtId="0" fontId="3" fillId="0" borderId="36" xfId="0" applyFont="1" applyBorder="1" applyAlignment="1">
      <alignment horizontal="center" vertical="center"/>
    </xf>
    <xf numFmtId="0" fontId="0" fillId="0" borderId="37" xfId="0" applyBorder="1" applyAlignment="1">
      <alignment horizontal="center" vertical="center"/>
    </xf>
    <xf numFmtId="0" fontId="0" fillId="0" borderId="12" xfId="0" applyBorder="1"/>
    <xf numFmtId="0" fontId="0" fillId="50" borderId="15" xfId="0" applyFill="1" applyBorder="1" applyAlignment="1">
      <alignment horizontal="center" vertical="center"/>
    </xf>
    <xf numFmtId="0" fontId="3" fillId="53" borderId="38" xfId="0" applyFont="1" applyFill="1" applyBorder="1" applyAlignment="1">
      <alignment horizontal="center" vertical="center"/>
    </xf>
    <xf numFmtId="0" fontId="3" fillId="53" borderId="39" xfId="0" applyFont="1" applyFill="1" applyBorder="1" applyAlignment="1">
      <alignment horizontal="center" vertical="center"/>
    </xf>
    <xf numFmtId="0" fontId="3" fillId="53" borderId="29" xfId="0" applyFont="1" applyFill="1" applyBorder="1" applyAlignment="1">
      <alignment horizontal="center" vertical="center"/>
    </xf>
    <xf numFmtId="0" fontId="3" fillId="53" borderId="28" xfId="0" applyFont="1" applyFill="1" applyBorder="1" applyAlignment="1">
      <alignment horizontal="center" vertical="center"/>
    </xf>
    <xf numFmtId="0" fontId="3" fillId="53" borderId="40" xfId="0" applyFont="1" applyFill="1" applyBorder="1" applyAlignment="1">
      <alignment horizontal="center" vertical="center"/>
    </xf>
    <xf numFmtId="49" fontId="3" fillId="47" borderId="36" xfId="0" applyNumberFormat="1" applyFont="1" applyFill="1" applyBorder="1" applyAlignment="1">
      <alignment horizontal="center" vertical="center"/>
    </xf>
    <xf numFmtId="0" fontId="0" fillId="50" borderId="16" xfId="0" applyFill="1" applyBorder="1" applyAlignment="1">
      <alignment horizontal="center" vertical="center"/>
    </xf>
    <xf numFmtId="0" fontId="0" fillId="51" borderId="15" xfId="0" applyFill="1" applyBorder="1" applyAlignment="1">
      <alignment horizontal="center" vertical="center"/>
    </xf>
    <xf numFmtId="0" fontId="0" fillId="51" borderId="4" xfId="0" applyFill="1" applyBorder="1" applyAlignment="1">
      <alignment horizontal="center" vertical="center"/>
    </xf>
    <xf numFmtId="0" fontId="0" fillId="51" borderId="24" xfId="0" applyFill="1" applyBorder="1" applyAlignment="1">
      <alignment horizontal="center" vertical="center"/>
    </xf>
    <xf numFmtId="0" fontId="0" fillId="51" borderId="23" xfId="0" applyFill="1" applyBorder="1" applyAlignment="1">
      <alignment horizontal="center" vertical="center"/>
    </xf>
    <xf numFmtId="0" fontId="0" fillId="51" borderId="16" xfId="0" applyFill="1" applyBorder="1" applyAlignment="1">
      <alignment horizontal="center" vertical="center"/>
    </xf>
    <xf numFmtId="0" fontId="0" fillId="51" borderId="34" xfId="0" applyFill="1" applyBorder="1" applyAlignment="1">
      <alignment horizontal="center" vertical="center"/>
    </xf>
    <xf numFmtId="0" fontId="0" fillId="51" borderId="32" xfId="0" applyFill="1" applyBorder="1" applyAlignment="1">
      <alignment horizontal="center" vertical="center"/>
    </xf>
    <xf numFmtId="0" fontId="0" fillId="51" borderId="25" xfId="0" applyFill="1" applyBorder="1" applyAlignment="1">
      <alignment horizontal="center" vertical="center"/>
    </xf>
    <xf numFmtId="0" fontId="0" fillId="51" borderId="33" xfId="0" applyFill="1" applyBorder="1" applyAlignment="1">
      <alignment horizontal="center" vertical="center"/>
    </xf>
    <xf numFmtId="0" fontId="3" fillId="51" borderId="14" xfId="0" applyFont="1" applyFill="1" applyBorder="1" applyAlignment="1">
      <alignment horizontal="center" vertical="center"/>
    </xf>
    <xf numFmtId="0" fontId="3" fillId="51" borderId="2" xfId="0" applyFont="1" applyFill="1" applyBorder="1" applyAlignment="1">
      <alignment horizontal="center" vertical="center"/>
    </xf>
    <xf numFmtId="0" fontId="0" fillId="50" borderId="25" xfId="0" applyFill="1" applyBorder="1" applyAlignment="1">
      <alignment horizontal="center" vertical="center"/>
    </xf>
    <xf numFmtId="9" fontId="3" fillId="7" borderId="41" xfId="2" applyFont="1" applyFill="1" applyBorder="1" applyAlignment="1">
      <alignment horizontal="center" vertical="center"/>
    </xf>
    <xf numFmtId="9" fontId="3" fillId="2" borderId="41" xfId="2" applyFont="1" applyFill="1" applyBorder="1" applyAlignment="1">
      <alignment horizontal="center" vertical="center"/>
    </xf>
    <xf numFmtId="9" fontId="3" fillId="2" borderId="42" xfId="2" applyFont="1" applyFill="1" applyBorder="1" applyAlignment="1">
      <alignment horizontal="center" vertical="center"/>
    </xf>
    <xf numFmtId="9" fontId="3" fillId="8" borderId="43" xfId="2" applyFont="1" applyFill="1" applyBorder="1" applyAlignment="1">
      <alignment horizontal="center" vertical="center"/>
    </xf>
    <xf numFmtId="9" fontId="3" fillId="3" borderId="41" xfId="2" applyFont="1" applyFill="1" applyBorder="1" applyAlignment="1">
      <alignment horizontal="center" vertical="center"/>
    </xf>
    <xf numFmtId="9" fontId="3" fillId="3" borderId="42" xfId="2" applyFont="1" applyFill="1" applyBorder="1" applyAlignment="1">
      <alignment horizontal="center" vertical="center"/>
    </xf>
    <xf numFmtId="9" fontId="3" fillId="5" borderId="43" xfId="2" applyFont="1" applyFill="1" applyBorder="1" applyAlignment="1">
      <alignment horizontal="center" vertical="center"/>
    </xf>
    <xf numFmtId="9" fontId="3" fillId="10" borderId="44" xfId="2" applyFont="1" applyFill="1" applyBorder="1" applyAlignment="1">
      <alignment horizontal="center" vertical="center"/>
    </xf>
    <xf numFmtId="9" fontId="3" fillId="4" borderId="45" xfId="2" applyFont="1" applyFill="1" applyBorder="1" applyAlignment="1">
      <alignment horizontal="center" vertical="center"/>
    </xf>
    <xf numFmtId="9" fontId="3" fillId="9" borderId="41" xfId="2" applyFont="1" applyFill="1" applyBorder="1" applyAlignment="1">
      <alignment horizontal="center" vertical="center"/>
    </xf>
    <xf numFmtId="9" fontId="3" fillId="9" borderId="44" xfId="2" applyFont="1" applyFill="1" applyBorder="1" applyAlignment="1">
      <alignment horizontal="center" vertical="center"/>
    </xf>
    <xf numFmtId="9" fontId="3" fillId="45" borderId="45" xfId="2" applyFont="1" applyFill="1" applyBorder="1" applyAlignment="1">
      <alignment horizontal="center" vertical="center"/>
    </xf>
    <xf numFmtId="9" fontId="3" fillId="46" borderId="41" xfId="2" applyFont="1" applyFill="1" applyBorder="1" applyAlignment="1">
      <alignment horizontal="center" vertical="center"/>
    </xf>
    <xf numFmtId="9" fontId="3" fillId="46" borderId="44" xfId="2" applyFont="1" applyFill="1" applyBorder="1" applyAlignment="1">
      <alignment horizontal="center" vertical="center"/>
    </xf>
    <xf numFmtId="9" fontId="3" fillId="47" borderId="45" xfId="2" applyFont="1" applyFill="1" applyBorder="1" applyAlignment="1">
      <alignment horizontal="center" vertical="center"/>
    </xf>
    <xf numFmtId="9" fontId="3" fillId="48" borderId="41" xfId="2" applyFont="1" applyFill="1" applyBorder="1" applyAlignment="1">
      <alignment horizontal="center" vertical="center"/>
    </xf>
    <xf numFmtId="0" fontId="0" fillId="50" borderId="46" xfId="0" applyFill="1" applyBorder="1" applyAlignment="1">
      <alignment horizontal="center" vertical="center"/>
    </xf>
    <xf numFmtId="0" fontId="0" fillId="44" borderId="0" xfId="0" applyFill="1" applyAlignment="1">
      <alignment horizontal="center" vertical="top" wrapText="1"/>
    </xf>
    <xf numFmtId="0" fontId="4" fillId="49" borderId="13" xfId="0" applyFont="1" applyFill="1" applyBorder="1" applyAlignment="1">
      <alignment horizontal="left" vertical="center" indent="1"/>
    </xf>
    <xf numFmtId="9" fontId="3" fillId="49" borderId="43" xfId="2" applyFont="1" applyFill="1" applyBorder="1" applyAlignment="1">
      <alignment horizontal="center" vertical="center"/>
    </xf>
    <xf numFmtId="0" fontId="0" fillId="49" borderId="19" xfId="0" applyFill="1" applyBorder="1" applyAlignment="1">
      <alignment horizontal="center" vertical="center"/>
    </xf>
    <xf numFmtId="0" fontId="0" fillId="49" borderId="20" xfId="0" applyFill="1" applyBorder="1" applyAlignment="1">
      <alignment horizontal="center" vertical="center"/>
    </xf>
    <xf numFmtId="0" fontId="0" fillId="49" borderId="21" xfId="0" applyFill="1" applyBorder="1" applyAlignment="1">
      <alignment horizontal="center" vertical="center"/>
    </xf>
    <xf numFmtId="0" fontId="28" fillId="12" borderId="52" xfId="0" applyFont="1" applyFill="1" applyBorder="1" applyAlignment="1">
      <alignment horizontal="left" vertical="center" indent="1"/>
    </xf>
    <xf numFmtId="0" fontId="28" fillId="12" borderId="52" xfId="0" applyFont="1" applyFill="1" applyBorder="1" applyAlignment="1">
      <alignment horizontal="center" vertical="center" wrapText="1"/>
    </xf>
    <xf numFmtId="49" fontId="29" fillId="11" borderId="53" xfId="0" applyNumberFormat="1" applyFont="1" applyFill="1" applyBorder="1" applyAlignment="1">
      <alignment horizontal="center" vertical="center" shrinkToFit="1"/>
    </xf>
    <xf numFmtId="0" fontId="30" fillId="0" borderId="17" xfId="0" applyFont="1" applyBorder="1"/>
    <xf numFmtId="49" fontId="29" fillId="11" borderId="54" xfId="0" applyNumberFormat="1" applyFont="1" applyFill="1" applyBorder="1" applyAlignment="1">
      <alignment horizontal="center" vertical="center" shrinkToFit="1"/>
    </xf>
    <xf numFmtId="0" fontId="5" fillId="10" borderId="31" xfId="12" applyFill="1" applyBorder="1">
      <alignment horizontal="left" vertical="center" indent="2"/>
    </xf>
    <xf numFmtId="0" fontId="0" fillId="50" borderId="32" xfId="0" applyFill="1" applyBorder="1" applyAlignment="1">
      <alignment horizontal="center" vertical="center"/>
    </xf>
    <xf numFmtId="0" fontId="4" fillId="4" borderId="30" xfId="0" applyFont="1" applyFill="1" applyBorder="1" applyAlignment="1">
      <alignment horizontal="left" vertical="center" indent="1"/>
    </xf>
    <xf numFmtId="0" fontId="0" fillId="0" borderId="55" xfId="0" applyBorder="1" applyAlignment="1">
      <alignment horizontal="center" vertical="center"/>
    </xf>
    <xf numFmtId="0" fontId="0" fillId="0" borderId="12" xfId="0" applyBorder="1" applyAlignment="1">
      <alignment vertical="center"/>
    </xf>
    <xf numFmtId="0" fontId="0" fillId="4" borderId="55" xfId="0" applyFill="1" applyBorder="1" applyAlignment="1">
      <alignment horizontal="center" vertical="center"/>
    </xf>
    <xf numFmtId="0" fontId="0" fillId="4" borderId="35" xfId="0" applyFill="1" applyBorder="1" applyAlignment="1">
      <alignment horizontal="center" vertical="center"/>
    </xf>
    <xf numFmtId="49" fontId="0" fillId="4" borderId="36" xfId="0" applyNumberFormat="1" applyFill="1" applyBorder="1" applyAlignment="1">
      <alignment horizontal="center" vertical="center"/>
    </xf>
    <xf numFmtId="49" fontId="0" fillId="4" borderId="30" xfId="0" applyNumberFormat="1" applyFill="1" applyBorder="1" applyAlignment="1">
      <alignment horizontal="center" vertical="center"/>
    </xf>
    <xf numFmtId="0" fontId="0" fillId="49" borderId="57" xfId="0" applyFill="1" applyBorder="1" applyAlignment="1">
      <alignment horizontal="center" vertical="center"/>
    </xf>
    <xf numFmtId="0" fontId="0" fillId="49" borderId="56" xfId="0" applyFill="1" applyBorder="1" applyAlignment="1">
      <alignment horizontal="center" vertical="center"/>
    </xf>
    <xf numFmtId="0" fontId="0" fillId="50" borderId="21" xfId="0" applyFill="1" applyBorder="1" applyAlignment="1">
      <alignment horizontal="center" vertical="center"/>
    </xf>
    <xf numFmtId="0" fontId="0" fillId="51" borderId="2" xfId="0" applyFill="1" applyBorder="1" applyAlignment="1">
      <alignment horizontal="center" vertical="center"/>
    </xf>
    <xf numFmtId="0" fontId="0" fillId="51" borderId="58" xfId="0" applyFill="1" applyBorder="1" applyAlignment="1">
      <alignment horizontal="center" vertical="center"/>
    </xf>
    <xf numFmtId="0" fontId="0" fillId="54" borderId="20" xfId="0" applyFill="1" applyBorder="1" applyAlignment="1">
      <alignment horizontal="center" vertical="center"/>
    </xf>
    <xf numFmtId="0" fontId="0" fillId="49" borderId="55" xfId="0" applyFill="1" applyBorder="1" applyAlignment="1">
      <alignment horizontal="center" vertical="center"/>
    </xf>
    <xf numFmtId="0" fontId="0" fillId="50" borderId="33" xfId="0" applyFill="1" applyBorder="1" applyAlignment="1">
      <alignment horizontal="center" vertical="center"/>
    </xf>
    <xf numFmtId="0" fontId="5" fillId="9" borderId="31" xfId="12" applyFill="1" applyBorder="1">
      <alignment horizontal="left" vertical="center" indent="2"/>
    </xf>
    <xf numFmtId="0" fontId="4" fillId="45" borderId="30" xfId="0" applyFont="1" applyFill="1" applyBorder="1" applyAlignment="1">
      <alignment horizontal="left" vertical="center" indent="1"/>
    </xf>
    <xf numFmtId="0" fontId="0" fillId="50" borderId="23" xfId="0" applyFill="1" applyBorder="1" applyAlignment="1">
      <alignment horizontal="center" vertical="center"/>
    </xf>
    <xf numFmtId="0" fontId="0" fillId="50" borderId="34" xfId="0" applyFill="1" applyBorder="1" applyAlignment="1">
      <alignment horizontal="center" vertical="center"/>
    </xf>
    <xf numFmtId="0" fontId="0" fillId="50" borderId="19" xfId="0" applyFill="1" applyBorder="1" applyAlignment="1">
      <alignment horizontal="center" vertical="center"/>
    </xf>
    <xf numFmtId="0" fontId="0" fillId="50" borderId="20" xfId="0" applyFill="1" applyBorder="1" applyAlignment="1">
      <alignment horizontal="center" vertical="center"/>
    </xf>
    <xf numFmtId="0" fontId="5" fillId="48" borderId="22" xfId="12" applyFill="1" applyBorder="1">
      <alignment horizontal="left" vertical="center" indent="2"/>
    </xf>
    <xf numFmtId="9" fontId="3" fillId="48" borderId="42" xfId="2" applyFont="1" applyFill="1" applyBorder="1" applyAlignment="1">
      <alignment horizontal="center" vertical="center"/>
    </xf>
    <xf numFmtId="0" fontId="3" fillId="0" borderId="22" xfId="0" applyFont="1" applyBorder="1" applyAlignment="1">
      <alignment horizontal="center" vertical="center"/>
    </xf>
    <xf numFmtId="0" fontId="3" fillId="0" borderId="59" xfId="0" applyFont="1" applyBorder="1" applyAlignment="1">
      <alignment horizontal="center" vertical="center"/>
    </xf>
    <xf numFmtId="0" fontId="3" fillId="50" borderId="14" xfId="0" applyFont="1" applyFill="1" applyBorder="1" applyAlignment="1">
      <alignment horizontal="center" vertical="center"/>
    </xf>
    <xf numFmtId="0" fontId="3" fillId="50" borderId="2" xfId="0" applyFont="1" applyFill="1" applyBorder="1" applyAlignment="1">
      <alignment horizontal="center" vertical="center"/>
    </xf>
    <xf numFmtId="9" fontId="3" fillId="51" borderId="2" xfId="2" applyFont="1" applyFill="1" applyBorder="1" applyAlignment="1">
      <alignment horizontal="center" vertical="center"/>
    </xf>
    <xf numFmtId="0" fontId="0" fillId="44" borderId="49" xfId="0" applyFill="1" applyBorder="1" applyAlignment="1">
      <alignment horizontal="center" vertical="center"/>
    </xf>
    <xf numFmtId="0" fontId="0" fillId="44" borderId="50" xfId="0" applyFill="1" applyBorder="1" applyAlignment="1">
      <alignment horizontal="center" vertical="center"/>
    </xf>
    <xf numFmtId="0" fontId="0" fillId="44" borderId="51" xfId="0" applyFill="1" applyBorder="1" applyAlignment="1">
      <alignment horizontal="center" vertical="center"/>
    </xf>
    <xf numFmtId="170" fontId="0" fillId="6" borderId="47" xfId="0" applyNumberFormat="1" applyFill="1" applyBorder="1" applyAlignment="1">
      <alignment horizontal="center" vertical="center" wrapText="1"/>
    </xf>
    <xf numFmtId="170" fontId="0" fillId="6" borderId="12" xfId="0" applyNumberFormat="1" applyFill="1" applyBorder="1" applyAlignment="1">
      <alignment horizontal="center" vertical="center" wrapText="1"/>
    </xf>
    <xf numFmtId="170" fontId="0" fillId="6" borderId="48" xfId="0" applyNumberFormat="1" applyFill="1" applyBorder="1" applyAlignment="1">
      <alignment horizontal="center" vertical="center" wrapText="1"/>
    </xf>
    <xf numFmtId="0" fontId="31" fillId="0" borderId="27" xfId="0" applyFont="1" applyBorder="1" applyAlignment="1">
      <alignment horizontal="center" vertical="center"/>
    </xf>
    <xf numFmtId="0" fontId="31" fillId="0" borderId="60" xfId="0" applyFont="1" applyBorder="1" applyAlignment="1">
      <alignment horizontal="center" vertical="center"/>
    </xf>
    <xf numFmtId="0" fontId="6" fillId="50" borderId="26" xfId="0" applyFont="1" applyFill="1" applyBorder="1" applyAlignment="1">
      <alignment horizontal="center" vertical="center"/>
    </xf>
    <xf numFmtId="0" fontId="6" fillId="50" borderId="11" xfId="0" applyFont="1" applyFill="1" applyBorder="1" applyAlignment="1">
      <alignment horizontal="center" vertical="center"/>
    </xf>
    <xf numFmtId="170" fontId="0" fillId="6" borderId="61" xfId="0" applyNumberFormat="1" applyFill="1" applyBorder="1" applyAlignment="1">
      <alignment horizontal="center" vertical="center" wrapText="1"/>
    </xf>
    <xf numFmtId="0" fontId="32" fillId="54" borderId="26" xfId="0" applyFont="1" applyFill="1" applyBorder="1" applyAlignment="1">
      <alignment horizontal="center" vertical="center" wrapText="1"/>
    </xf>
    <xf numFmtId="0" fontId="32" fillId="54" borderId="11" xfId="0" applyFont="1" applyFill="1" applyBorder="1" applyAlignment="1">
      <alignment horizontal="center" vertical="center" wrapText="1"/>
    </xf>
    <xf numFmtId="0" fontId="32" fillId="52" borderId="26" xfId="0" applyFont="1" applyFill="1" applyBorder="1" applyAlignment="1">
      <alignment horizontal="center" vertical="center" wrapText="1"/>
    </xf>
    <xf numFmtId="0" fontId="32" fillId="52" borderId="11" xfId="0" applyFont="1" applyFill="1" applyBorder="1" applyAlignment="1">
      <alignment horizontal="center" vertical="center" wrapText="1"/>
    </xf>
    <xf numFmtId="0" fontId="6" fillId="51" borderId="26" xfId="0" applyFont="1" applyFill="1" applyBorder="1" applyAlignment="1">
      <alignment horizontal="center" vertical="center"/>
    </xf>
    <xf numFmtId="0" fontId="6" fillId="51" borderId="11" xfId="0" applyFont="1" applyFill="1" applyBorder="1" applyAlignment="1">
      <alignment horizontal="center" vertical="center"/>
    </xf>
    <xf numFmtId="0" fontId="0" fillId="44" borderId="62" xfId="0" applyFill="1" applyBorder="1" applyAlignment="1">
      <alignment horizontal="center" vertical="center"/>
    </xf>
    <xf numFmtId="170" fontId="0" fillId="6" borderId="63" xfId="0" applyNumberFormat="1" applyFill="1" applyBorder="1" applyAlignment="1">
      <alignment horizontal="center" vertical="center" wrapText="1"/>
    </xf>
    <xf numFmtId="170" fontId="0" fillId="6" borderId="0" xfId="0" applyNumberFormat="1" applyFill="1" applyAlignment="1">
      <alignment horizontal="center" vertical="center" wrapText="1"/>
    </xf>
    <xf numFmtId="170" fontId="0" fillId="6" borderId="64" xfId="0" applyNumberFormat="1" applyFill="1" applyBorder="1" applyAlignment="1">
      <alignment horizontal="center" vertical="center" wrapText="1"/>
    </xf>
    <xf numFmtId="170" fontId="0" fillId="6" borderId="1" xfId="0" applyNumberFormat="1" applyFill="1" applyBorder="1" applyAlignment="1">
      <alignment horizontal="center" vertical="center" wrapText="1"/>
    </xf>
    <xf numFmtId="170" fontId="0" fillId="6" borderId="65" xfId="0" applyNumberFormat="1" applyFill="1" applyBorder="1" applyAlignment="1">
      <alignment horizontal="center" vertical="center" wrapText="1"/>
    </xf>
    <xf numFmtId="0" fontId="0" fillId="54" borderId="15" xfId="0" applyFill="1" applyBorder="1" applyAlignment="1">
      <alignment horizontal="center" vertical="center"/>
    </xf>
    <xf numFmtId="0" fontId="0" fillId="54" borderId="4" xfId="0" applyFill="1" applyBorder="1" applyAlignment="1">
      <alignment horizontal="center" vertical="center"/>
    </xf>
    <xf numFmtId="0" fontId="0" fillId="54" borderId="25" xfId="0" applyFill="1" applyBorder="1" applyAlignment="1">
      <alignment horizontal="center" vertical="center"/>
    </xf>
    <xf numFmtId="0" fontId="0" fillId="54" borderId="23" xfId="0" applyFill="1" applyBorder="1" applyAlignment="1">
      <alignment horizontal="center" vertical="center"/>
    </xf>
    <xf numFmtId="0" fontId="0" fillId="54" borderId="19" xfId="0" applyFill="1" applyBorder="1" applyAlignment="1">
      <alignment horizontal="center" vertical="center"/>
    </xf>
    <xf numFmtId="0" fontId="0" fillId="54" borderId="34" xfId="0" applyFill="1" applyBorder="1" applyAlignment="1">
      <alignment horizontal="center" vertical="center"/>
    </xf>
    <xf numFmtId="0" fontId="0" fillId="54" borderId="32" xfId="0" applyFill="1" applyBorder="1" applyAlignment="1">
      <alignment horizontal="center" vertical="center"/>
    </xf>
    <xf numFmtId="0" fontId="0" fillId="54" borderId="37" xfId="0" applyFill="1" applyBorder="1" applyAlignment="1">
      <alignment horizontal="center" vertical="center"/>
    </xf>
    <xf numFmtId="0" fontId="0" fillId="54" borderId="35" xfId="0" applyFill="1" applyBorder="1" applyAlignment="1">
      <alignment horizontal="center" vertical="center"/>
    </xf>
    <xf numFmtId="0" fontId="3" fillId="54" borderId="30" xfId="0" applyFont="1" applyFill="1" applyBorder="1" applyAlignment="1">
      <alignment horizontal="center" vertical="center"/>
    </xf>
    <xf numFmtId="0" fontId="3" fillId="54" borderId="2" xfId="0" applyFont="1" applyFill="1" applyBorder="1" applyAlignment="1">
      <alignment horizontal="center" vertical="center"/>
    </xf>
    <xf numFmtId="0" fontId="0" fillId="54" borderId="66" xfId="0" applyFill="1" applyBorder="1" applyAlignment="1">
      <alignment horizontal="center" vertical="center"/>
    </xf>
    <xf numFmtId="0" fontId="4" fillId="8" borderId="13" xfId="0" applyFont="1" applyFill="1" applyBorder="1" applyAlignment="1">
      <alignment vertical="center"/>
    </xf>
    <xf numFmtId="0" fontId="3" fillId="50" borderId="59" xfId="0" applyFont="1" applyFill="1" applyBorder="1" applyAlignment="1">
      <alignment horizontal="center" vertical="center"/>
    </xf>
    <xf numFmtId="0" fontId="4" fillId="47" borderId="30" xfId="0" applyFont="1" applyFill="1" applyBorder="1" applyAlignment="1">
      <alignment vertical="center"/>
    </xf>
    <xf numFmtId="0" fontId="4" fillId="45" borderId="30" xfId="0" applyFont="1" applyFill="1" applyBorder="1" applyAlignment="1">
      <alignment vertical="center"/>
    </xf>
    <xf numFmtId="0" fontId="4" fillId="4" borderId="30" xfId="0" applyFont="1" applyFill="1" applyBorder="1" applyAlignment="1">
      <alignment vertical="center"/>
    </xf>
    <xf numFmtId="0" fontId="33" fillId="0" borderId="67" xfId="0" applyFont="1" applyBorder="1" applyAlignment="1">
      <alignment vertical="center"/>
    </xf>
    <xf numFmtId="0" fontId="33" fillId="8" borderId="67" xfId="0" applyFont="1" applyFill="1" applyBorder="1" applyAlignment="1">
      <alignment horizontal="center" wrapText="1"/>
    </xf>
    <xf numFmtId="0" fontId="34" fillId="50" borderId="52" xfId="0" applyFont="1" applyFill="1" applyBorder="1" applyAlignment="1">
      <alignment horizontal="left" vertical="center" indent="1"/>
    </xf>
    <xf numFmtId="0" fontId="33" fillId="49" borderId="67" xfId="0" applyFont="1" applyFill="1" applyBorder="1" applyAlignment="1">
      <alignment horizontal="center" wrapText="1"/>
    </xf>
    <xf numFmtId="0" fontId="33" fillId="45" borderId="67" xfId="0" applyFont="1" applyFill="1" applyBorder="1" applyAlignment="1">
      <alignment horizontal="center" wrapText="1"/>
    </xf>
    <xf numFmtId="0" fontId="33" fillId="4" borderId="67" xfId="0" applyFont="1" applyFill="1" applyBorder="1" applyAlignment="1">
      <alignment horizontal="center" wrapText="1"/>
    </xf>
    <xf numFmtId="0" fontId="33" fillId="5" borderId="67" xfId="0" applyFont="1" applyFill="1" applyBorder="1" applyAlignment="1">
      <alignment horizontal="center" wrapText="1"/>
    </xf>
    <xf numFmtId="0" fontId="4" fillId="5" borderId="13" xfId="0" applyFont="1" applyFill="1" applyBorder="1" applyAlignment="1">
      <alignment vertical="center"/>
    </xf>
    <xf numFmtId="0" fontId="4" fillId="7" borderId="2" xfId="0" applyFont="1" applyFill="1" applyBorder="1" applyAlignment="1">
      <alignment vertical="center"/>
    </xf>
    <xf numFmtId="0" fontId="4" fillId="49" borderId="13" xfId="0" applyFont="1" applyFill="1" applyBorder="1" applyAlignment="1">
      <alignment vertical="center"/>
    </xf>
    <xf numFmtId="0" fontId="33" fillId="47" borderId="67" xfId="0" applyFont="1" applyFill="1" applyBorder="1" applyAlignment="1">
      <alignment horizontal="center" wrapText="1"/>
    </xf>
    <xf numFmtId="0" fontId="33" fillId="55" borderId="67" xfId="0" applyFont="1" applyFill="1" applyBorder="1" applyAlignment="1">
      <alignment horizontal="center" wrapText="1"/>
    </xf>
    <xf numFmtId="0" fontId="33" fillId="4" borderId="67" xfId="0" applyFont="1" applyFill="1" applyBorder="1" applyAlignment="1">
      <alignment horizontal="left" wrapText="1"/>
    </xf>
    <xf numFmtId="0" fontId="33" fillId="5" borderId="67" xfId="0" applyFont="1" applyFill="1" applyBorder="1" applyAlignment="1">
      <alignment horizontal="left" wrapText="1"/>
    </xf>
    <xf numFmtId="0" fontId="33" fillId="8" borderId="67" xfId="0" applyFont="1" applyFill="1" applyBorder="1" applyAlignment="1">
      <alignment horizontal="left" wrapText="1"/>
    </xf>
    <xf numFmtId="0" fontId="33" fillId="55" borderId="67" xfId="0" applyFont="1" applyFill="1" applyBorder="1" applyAlignment="1">
      <alignment horizontal="left" wrapText="1"/>
    </xf>
    <xf numFmtId="0" fontId="33" fillId="50" borderId="67" xfId="0" applyFont="1" applyFill="1" applyBorder="1" applyAlignment="1">
      <alignment horizontal="left" wrapText="1"/>
    </xf>
    <xf numFmtId="0" fontId="33" fillId="49" borderId="67" xfId="0" applyFont="1" applyFill="1" applyBorder="1" applyAlignment="1">
      <alignment horizontal="left" wrapText="1"/>
    </xf>
    <xf numFmtId="0" fontId="33" fillId="47" borderId="67" xfId="0" applyFont="1" applyFill="1" applyBorder="1" applyAlignment="1">
      <alignment horizontal="left" wrapText="1"/>
    </xf>
    <xf numFmtId="0" fontId="33" fillId="50" borderId="67" xfId="0" applyFont="1" applyFill="1" applyBorder="1" applyAlignment="1">
      <alignment horizontal="center" wrapText="1"/>
    </xf>
    <xf numFmtId="0" fontId="33" fillId="45" borderId="67" xfId="0" applyFont="1" applyFill="1" applyBorder="1" applyAlignment="1">
      <alignment horizontal="left" wrapText="1"/>
    </xf>
    <xf numFmtId="0" fontId="0" fillId="0" borderId="0" xfId="0"/>
    <xf numFmtId="0" fontId="1" fillId="0" borderId="0" xfId="0" applyFont="1" applyAlignment="1">
      <alignment horizontal="center" vertical="center"/>
    </xf>
    <xf numFmtId="0" fontId="28" fillId="12" borderId="1" xfId="0" applyFont="1" applyFill="1" applyBorder="1" applyAlignment="1">
      <alignment horizontal="center" vertical="center" wrapText="1"/>
    </xf>
    <xf numFmtId="0" fontId="3" fillId="53" borderId="38" xfId="0" applyFont="1" applyFill="1" applyBorder="1" applyAlignment="1">
      <alignment horizontal="center" vertical="center"/>
    </xf>
    <xf numFmtId="0" fontId="3" fillId="53" borderId="39" xfId="0" applyFont="1" applyFill="1" applyBorder="1" applyAlignment="1">
      <alignment horizontal="center" vertical="center"/>
    </xf>
    <xf numFmtId="0" fontId="3" fillId="53" borderId="29" xfId="0" applyFont="1" applyFill="1" applyBorder="1" applyAlignment="1">
      <alignment horizontal="center" vertical="center"/>
    </xf>
    <xf numFmtId="0" fontId="3" fillId="53" borderId="28" xfId="0" applyFont="1" applyFill="1" applyBorder="1" applyAlignment="1">
      <alignment horizontal="center" vertical="center"/>
    </xf>
    <xf numFmtId="0" fontId="3" fillId="53" borderId="40" xfId="0" applyFont="1" applyFill="1" applyBorder="1" applyAlignment="1">
      <alignment horizontal="center" vertical="center"/>
    </xf>
    <xf numFmtId="49" fontId="3" fillId="47" borderId="36" xfId="0" applyNumberFormat="1" applyFont="1" applyFill="1" applyBorder="1" applyAlignment="1">
      <alignment horizontal="center" vertical="center"/>
    </xf>
    <xf numFmtId="0" fontId="0" fillId="50" borderId="25" xfId="0" applyFill="1" applyBorder="1" applyAlignment="1">
      <alignment horizontal="center" vertical="center"/>
    </xf>
    <xf numFmtId="0" fontId="28" fillId="12" borderId="52" xfId="0" applyFont="1" applyFill="1" applyBorder="1" applyAlignment="1">
      <alignment horizontal="left" vertical="center" indent="1"/>
    </xf>
    <xf numFmtId="0" fontId="28" fillId="12" borderId="52" xfId="0" applyFont="1" applyFill="1" applyBorder="1" applyAlignment="1">
      <alignment horizontal="center" vertical="center" wrapText="1"/>
    </xf>
  </cellXfs>
  <cellStyles count="58">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ufgabe" xfId="12" xr:uid="{6391D789-272B-4DD2-9BF3-2CDCF610FA4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omma [0] 2" xfId="55" xr:uid="{7EEF786C-2919-43F7-8F35-89CFA6594D00}"/>
    <cellStyle name="Comma 2" xfId="54" xr:uid="{1481CFD0-171B-4FD7-AFC6-E451C1AB9028}"/>
    <cellStyle name="Comma 3" xfId="56" xr:uid="{C523DCDE-BBD7-4A6D-9D44-EB0A74850E4B}"/>
    <cellStyle name="Comma 4" xfId="57" xr:uid="{3B143705-9C9E-437C-94CD-9B2C806C0BBE}"/>
    <cellStyle name="Currency" xfId="15" builtinId="4" customBuiltin="1"/>
    <cellStyle name="Currency [0]" xfId="16" builtinId="7" customBuiltin="1"/>
    <cellStyle name="Datum" xfId="10" xr:uid="{229918B6-DD13-4F5A-97B9-305F7E002AA3}"/>
    <cellStyle name="Explanatory Text" xfId="28" builtinId="53" customBuiltin="1"/>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put" xfId="21" builtinId="20" customBuiltin="1"/>
    <cellStyle name="Linked Cell" xfId="24" builtinId="24" customBuiltin="1"/>
    <cellStyle name="Name" xfId="11" xr:uid="{B2D3C1EE-6B41-4801-AAFC-C2274E49E503}"/>
    <cellStyle name="Neutral" xfId="20" builtinId="28" customBuiltin="1"/>
    <cellStyle name="Normal" xfId="0" builtinId="0" customBuiltin="1"/>
    <cellStyle name="Note" xfId="27" builtinId="10" customBuiltin="1"/>
    <cellStyle name="Output" xfId="22" builtinId="21" customBuiltin="1"/>
    <cellStyle name="Per cent" xfId="2" builtinId="5" customBuiltin="1"/>
    <cellStyle name="Projektanfang" xfId="9" xr:uid="{8EB8A09A-C31C-40A3-B2C1-9449520178B8}"/>
    <cellStyle name="Title" xfId="5" builtinId="15" customBuiltin="1"/>
    <cellStyle name="Total" xfId="29" builtinId="25" customBuiltin="1"/>
    <cellStyle name="Warning Text" xfId="26" builtinId="11" customBuiltin="1"/>
    <cellStyle name="zAusgeblText" xfId="3" xr:uid="{26E66EE6-E33F-4D77-BAE4-0FB4F5BBF673}"/>
  </cellStyles>
  <dxfs count="13">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A8E2C8"/>
      <color rgb="FFFAF9BD"/>
      <color rgb="FFCCFF33"/>
      <color rgb="FFEDEECA"/>
      <color rgb="FFEAEAEA"/>
      <color rgb="FFEEA232"/>
      <color rgb="FFCBF1DC"/>
      <color rgb="FF215881"/>
      <color rgb="FF42648A"/>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Bild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3.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J36"/>
  <sheetViews>
    <sheetView showGridLines="0" tabSelected="1" showRuler="0" zoomScale="70" zoomScaleNormal="70" zoomScalePageLayoutView="70" workbookViewId="0">
      <pane ySplit="6" topLeftCell="A7" activePane="bottomLeft" state="frozen"/>
      <selection pane="bottomLeft"/>
    </sheetView>
  </sheetViews>
  <sheetFormatPr defaultColWidth="9.140625" defaultRowHeight="30" customHeight="1" x14ac:dyDescent="0.25"/>
  <cols>
    <col min="1" max="1" width="44" customWidth="1"/>
    <col min="2" max="4" width="12.7109375" customWidth="1"/>
    <col min="5" max="8" width="11.7109375" customWidth="1"/>
    <col min="9" max="12" width="10.7109375" customWidth="1"/>
    <col min="13" max="44" width="9.7109375" customWidth="1"/>
  </cols>
  <sheetData>
    <row r="1" spans="1:62" ht="24.75" customHeight="1" x14ac:dyDescent="0.45">
      <c r="A1" s="16" t="s">
        <v>56</v>
      </c>
      <c r="B1" s="1"/>
      <c r="C1" s="5"/>
      <c r="I1" s="102"/>
    </row>
    <row r="2" spans="1:62" ht="20.100000000000001" customHeight="1" x14ac:dyDescent="0.3">
      <c r="A2" s="17" t="s">
        <v>15</v>
      </c>
      <c r="C2" s="149" t="s">
        <v>23</v>
      </c>
      <c r="D2" s="151" t="s">
        <v>24</v>
      </c>
      <c r="E2" s="158" t="s">
        <v>25</v>
      </c>
      <c r="F2" s="154" t="s">
        <v>60</v>
      </c>
      <c r="G2" s="156" t="s">
        <v>59</v>
      </c>
    </row>
    <row r="3" spans="1:62" ht="20.100000000000001" customHeight="1" x14ac:dyDescent="0.25">
      <c r="A3" s="18" t="s">
        <v>16</v>
      </c>
      <c r="C3" s="149"/>
      <c r="D3" s="152"/>
      <c r="E3" s="159"/>
      <c r="F3" s="155"/>
      <c r="G3" s="157"/>
    </row>
    <row r="4" spans="1:62" ht="20.100000000000001" customHeight="1" x14ac:dyDescent="0.25">
      <c r="A4" s="37">
        <v>46069</v>
      </c>
      <c r="E4" s="143" t="str">
        <f>"Mon, Hours: " &amp; SUM(E7:H36)</f>
        <v>Mon, Hours: 7.25</v>
      </c>
      <c r="F4" s="144"/>
      <c r="G4" s="144"/>
      <c r="H4" s="145"/>
      <c r="I4" s="143" t="str">
        <f>"Tue, Hours: " &amp; SUM(I7:L36)</f>
        <v>Tue, Hours: 7.5</v>
      </c>
      <c r="J4" s="144"/>
      <c r="K4" s="144"/>
      <c r="L4" s="145"/>
      <c r="M4" s="143" t="str">
        <f>"Wed, Hours: " &amp; SUM(M7:P36)</f>
        <v>Wed, Hours: 7.5</v>
      </c>
      <c r="N4" s="144"/>
      <c r="O4" s="144"/>
      <c r="P4" s="145"/>
      <c r="Q4" s="143" t="str">
        <f>"Thu, Hours: " &amp; SUM(Q7:T36)</f>
        <v>Thu, Hours: 2</v>
      </c>
      <c r="R4" s="144"/>
      <c r="S4" s="144"/>
      <c r="T4" s="145"/>
      <c r="U4" s="143" t="str">
        <f>"Fri, Hours: " &amp; SUM(U7:X36)</f>
        <v>Fri, Hours: 7.25</v>
      </c>
      <c r="V4" s="144"/>
      <c r="W4" s="144"/>
      <c r="X4" s="145"/>
      <c r="Y4" s="160" t="str">
        <f>"Mon, Hours: " &amp; SUM(Y7:AB36)</f>
        <v>Mon, Hours: 7.25</v>
      </c>
      <c r="Z4" s="160"/>
      <c r="AA4" s="160"/>
      <c r="AB4" s="160"/>
      <c r="AC4" s="160" t="str">
        <f>"Tue, Hours: " &amp; SUM(AC7:AF36)</f>
        <v>Tue, Hours: 7.5</v>
      </c>
      <c r="AD4" s="160"/>
      <c r="AE4" s="160"/>
      <c r="AF4" s="160"/>
      <c r="AG4" s="160" t="str">
        <f>"Wed, Hours: " &amp; SUM(AG7:AJ36)</f>
        <v>Wed, Hours: 6.25</v>
      </c>
      <c r="AH4" s="160"/>
      <c r="AI4" s="160"/>
      <c r="AJ4" s="160"/>
      <c r="AK4" s="160" t="str">
        <f>"Thur, Hours: " &amp; SUM(AK7:AN36)</f>
        <v>Thur, Hours: 1</v>
      </c>
      <c r="AL4" s="160"/>
      <c r="AM4" s="160"/>
      <c r="AN4" s="160"/>
      <c r="AO4" s="160" t="str">
        <f>"Fri, Hours: " &amp; SUM(AO7:AR36)</f>
        <v>Fri, Hours: 0</v>
      </c>
      <c r="AP4" s="160"/>
      <c r="AQ4" s="160"/>
      <c r="AR4" s="160"/>
    </row>
    <row r="5" spans="1:62" ht="20.100000000000001" customHeight="1" x14ac:dyDescent="0.25">
      <c r="B5" s="28"/>
      <c r="E5" s="146">
        <v>46069</v>
      </c>
      <c r="F5" s="147"/>
      <c r="G5" s="147"/>
      <c r="H5" s="148"/>
      <c r="I5" s="146">
        <v>46070</v>
      </c>
      <c r="J5" s="147"/>
      <c r="K5" s="147"/>
      <c r="L5" s="148"/>
      <c r="M5" s="146">
        <v>46071</v>
      </c>
      <c r="N5" s="147"/>
      <c r="O5" s="147"/>
      <c r="P5" s="148"/>
      <c r="Q5" s="146">
        <v>46072</v>
      </c>
      <c r="R5" s="147"/>
      <c r="S5" s="147"/>
      <c r="T5" s="148"/>
      <c r="U5" s="146">
        <v>46073</v>
      </c>
      <c r="V5" s="147"/>
      <c r="W5" s="147"/>
      <c r="X5" s="148"/>
      <c r="Y5" s="161">
        <v>46076</v>
      </c>
      <c r="Z5" s="162"/>
      <c r="AA5" s="162"/>
      <c r="AB5" s="162"/>
      <c r="AC5" s="161">
        <v>46077</v>
      </c>
      <c r="AD5" s="162"/>
      <c r="AE5" s="162"/>
      <c r="AF5" s="162"/>
      <c r="AG5" s="161">
        <v>46078</v>
      </c>
      <c r="AH5" s="162"/>
      <c r="AI5" s="162"/>
      <c r="AJ5" s="162"/>
      <c r="AK5" s="161">
        <v>46079</v>
      </c>
      <c r="AL5" s="162"/>
      <c r="AM5" s="162"/>
      <c r="AN5" s="162"/>
      <c r="AO5" s="163">
        <v>46080</v>
      </c>
      <c r="AP5" s="164"/>
      <c r="AQ5" s="164"/>
      <c r="AR5" s="165"/>
    </row>
    <row r="6" spans="1:62" s="111" customFormat="1" ht="33" customHeight="1" x14ac:dyDescent="0.2">
      <c r="A6" s="108" t="s">
        <v>17</v>
      </c>
      <c r="B6" s="109" t="s">
        <v>18</v>
      </c>
      <c r="C6" s="25" t="s">
        <v>26</v>
      </c>
      <c r="D6" s="109" t="s">
        <v>55</v>
      </c>
      <c r="E6" s="110" t="s">
        <v>19</v>
      </c>
      <c r="F6" s="110" t="s">
        <v>20</v>
      </c>
      <c r="G6" s="110" t="s">
        <v>21</v>
      </c>
      <c r="H6" s="110" t="s">
        <v>22</v>
      </c>
      <c r="I6" s="110" t="s">
        <v>19</v>
      </c>
      <c r="J6" s="110" t="s">
        <v>20</v>
      </c>
      <c r="K6" s="110" t="s">
        <v>21</v>
      </c>
      <c r="L6" s="110" t="s">
        <v>22</v>
      </c>
      <c r="M6" s="110" t="s">
        <v>19</v>
      </c>
      <c r="N6" s="110" t="s">
        <v>20</v>
      </c>
      <c r="O6" s="110" t="s">
        <v>21</v>
      </c>
      <c r="P6" s="110" t="s">
        <v>22</v>
      </c>
      <c r="Q6" s="110" t="s">
        <v>19</v>
      </c>
      <c r="R6" s="110" t="s">
        <v>20</v>
      </c>
      <c r="S6" s="110" t="s">
        <v>21</v>
      </c>
      <c r="T6" s="110" t="s">
        <v>22</v>
      </c>
      <c r="U6" s="110" t="s">
        <v>19</v>
      </c>
      <c r="V6" s="110" t="s">
        <v>20</v>
      </c>
      <c r="W6" s="110" t="s">
        <v>21</v>
      </c>
      <c r="X6" s="110" t="s">
        <v>22</v>
      </c>
      <c r="Y6" s="110" t="s">
        <v>19</v>
      </c>
      <c r="Z6" s="110" t="s">
        <v>20</v>
      </c>
      <c r="AA6" s="110" t="s">
        <v>21</v>
      </c>
      <c r="AB6" s="110" t="s">
        <v>22</v>
      </c>
      <c r="AC6" s="110" t="s">
        <v>19</v>
      </c>
      <c r="AD6" s="110" t="s">
        <v>20</v>
      </c>
      <c r="AE6" s="110" t="s">
        <v>21</v>
      </c>
      <c r="AF6" s="110" t="s">
        <v>22</v>
      </c>
      <c r="AG6" s="110" t="s">
        <v>19</v>
      </c>
      <c r="AH6" s="110" t="s">
        <v>20</v>
      </c>
      <c r="AI6" s="110" t="s">
        <v>21</v>
      </c>
      <c r="AJ6" s="110" t="s">
        <v>22</v>
      </c>
      <c r="AK6" s="110" t="s">
        <v>19</v>
      </c>
      <c r="AL6" s="110" t="s">
        <v>20</v>
      </c>
      <c r="AM6" s="110" t="s">
        <v>21</v>
      </c>
      <c r="AN6" s="110" t="s">
        <v>22</v>
      </c>
      <c r="AO6" s="110" t="s">
        <v>19</v>
      </c>
      <c r="AP6" s="110" t="s">
        <v>20</v>
      </c>
      <c r="AQ6" s="110" t="s">
        <v>21</v>
      </c>
      <c r="AR6" s="112" t="s">
        <v>22</v>
      </c>
    </row>
    <row r="7" spans="1:62" ht="35.1" customHeight="1" thickBot="1" x14ac:dyDescent="0.3">
      <c r="A7" s="103" t="s">
        <v>27</v>
      </c>
      <c r="B7" s="104">
        <v>1</v>
      </c>
      <c r="C7" s="70">
        <v>15</v>
      </c>
      <c r="D7" s="68">
        <f>SUM(E7:AR7)</f>
        <v>18.5</v>
      </c>
      <c r="E7" s="105">
        <v>0.5</v>
      </c>
      <c r="F7" s="106"/>
      <c r="G7" s="106">
        <v>0.5</v>
      </c>
      <c r="H7" s="107">
        <v>1.25</v>
      </c>
      <c r="I7" s="106">
        <v>0.25</v>
      </c>
      <c r="J7" s="106">
        <v>1</v>
      </c>
      <c r="K7" s="106">
        <v>1.5</v>
      </c>
      <c r="L7" s="122">
        <v>0.75</v>
      </c>
      <c r="M7" s="123">
        <v>0.5</v>
      </c>
      <c r="N7" s="106">
        <v>1.5</v>
      </c>
      <c r="O7" s="106">
        <v>0.25</v>
      </c>
      <c r="P7" s="107">
        <v>0.5</v>
      </c>
      <c r="Q7" s="127"/>
      <c r="R7" s="127"/>
      <c r="S7" s="127"/>
      <c r="T7" s="107">
        <v>0.5</v>
      </c>
      <c r="U7" s="106"/>
      <c r="V7" s="106"/>
      <c r="W7" s="106">
        <v>1.75</v>
      </c>
      <c r="X7" s="128">
        <v>1</v>
      </c>
      <c r="Y7" s="105">
        <v>0.5</v>
      </c>
      <c r="Z7" s="106">
        <v>1.5</v>
      </c>
      <c r="AA7" s="106">
        <v>2</v>
      </c>
      <c r="AB7" s="106">
        <v>1.5</v>
      </c>
      <c r="AC7" s="106">
        <v>0.5</v>
      </c>
      <c r="AD7" s="106"/>
      <c r="AE7" s="106">
        <v>0.25</v>
      </c>
      <c r="AF7" s="106">
        <v>0.25</v>
      </c>
      <c r="AG7" s="106"/>
      <c r="AH7" s="106"/>
      <c r="AI7" s="106">
        <v>0.25</v>
      </c>
      <c r="AJ7" s="106"/>
      <c r="AK7" s="106"/>
      <c r="AL7" s="106"/>
      <c r="AM7" s="106"/>
      <c r="AN7" s="106"/>
      <c r="AO7" s="106"/>
      <c r="AP7" s="106"/>
      <c r="AQ7" s="106"/>
      <c r="AR7" s="128"/>
    </row>
    <row r="8" spans="1:62" s="2" customFormat="1" ht="35.1" customHeight="1" thickBot="1" x14ac:dyDescent="0.3">
      <c r="A8" s="4" t="s">
        <v>28</v>
      </c>
      <c r="B8" s="85">
        <f>SUMPRODUCT(B9:B11, D9:D11) / SUM( D9:D11)</f>
        <v>1</v>
      </c>
      <c r="C8" s="66">
        <f>SUM(C9:C11)</f>
        <v>4.75</v>
      </c>
      <c r="D8" s="66">
        <f>SUM(D9:D11)</f>
        <v>3.25</v>
      </c>
      <c r="E8" s="40"/>
      <c r="F8" s="40"/>
      <c r="G8" s="40"/>
      <c r="H8" s="41"/>
      <c r="I8" s="40"/>
      <c r="J8" s="40"/>
      <c r="K8" s="39"/>
      <c r="L8" s="43"/>
      <c r="M8" s="42"/>
      <c r="N8" s="39"/>
      <c r="O8" s="39"/>
      <c r="P8" s="43"/>
      <c r="Q8" s="166"/>
      <c r="R8" s="167"/>
      <c r="S8" s="167"/>
      <c r="T8" s="44"/>
      <c r="U8" s="42"/>
      <c r="V8" s="39"/>
      <c r="W8" s="39"/>
      <c r="X8" s="43"/>
      <c r="Y8" s="39"/>
      <c r="Z8" s="45"/>
      <c r="AA8" s="39"/>
      <c r="AB8" s="43"/>
      <c r="AC8" s="42"/>
      <c r="AD8" s="39"/>
      <c r="AE8" s="39"/>
      <c r="AF8" s="43"/>
      <c r="AG8" s="42"/>
      <c r="AH8" s="39"/>
      <c r="AI8" s="39"/>
      <c r="AJ8" s="43"/>
      <c r="AK8" s="42"/>
      <c r="AL8" s="39"/>
      <c r="AM8" s="39"/>
      <c r="AN8" s="44"/>
      <c r="AO8" s="42"/>
      <c r="AP8" s="39"/>
      <c r="AQ8" s="39"/>
      <c r="AR8" s="43"/>
    </row>
    <row r="9" spans="1:62" s="2" customFormat="1" ht="35.1" customHeight="1" thickBot="1" x14ac:dyDescent="0.3">
      <c r="A9" s="19" t="s">
        <v>29</v>
      </c>
      <c r="B9" s="86">
        <v>1</v>
      </c>
      <c r="C9" s="66">
        <v>2</v>
      </c>
      <c r="D9" s="66">
        <f>SUM(E9:AR9)</f>
        <v>1.5</v>
      </c>
      <c r="E9" s="65">
        <v>0.75</v>
      </c>
      <c r="F9" s="39"/>
      <c r="G9" s="38">
        <v>0.75</v>
      </c>
      <c r="H9" s="43"/>
      <c r="I9" s="42"/>
      <c r="J9" s="39"/>
      <c r="K9" s="39"/>
      <c r="L9" s="43"/>
      <c r="M9" s="42"/>
      <c r="N9" s="39"/>
      <c r="O9" s="39"/>
      <c r="P9" s="43"/>
      <c r="Q9" s="166"/>
      <c r="R9" s="167"/>
      <c r="S9" s="167"/>
      <c r="T9" s="43"/>
      <c r="U9" s="42"/>
      <c r="V9" s="39"/>
      <c r="W9" s="39"/>
      <c r="X9" s="43"/>
      <c r="Y9" s="39"/>
      <c r="Z9" s="39"/>
      <c r="AA9" s="39"/>
      <c r="AB9" s="43"/>
      <c r="AC9" s="42"/>
      <c r="AD9" s="39"/>
      <c r="AE9" s="39"/>
      <c r="AF9" s="43"/>
      <c r="AG9" s="42"/>
      <c r="AH9" s="39"/>
      <c r="AI9" s="39"/>
      <c r="AJ9" s="43"/>
      <c r="AK9" s="42"/>
      <c r="AL9" s="39"/>
      <c r="AM9" s="39"/>
      <c r="AN9" s="43"/>
      <c r="AO9" s="42"/>
      <c r="AP9" s="39"/>
      <c r="AQ9" s="39"/>
      <c r="AR9" s="43"/>
    </row>
    <row r="10" spans="1:62" s="2" customFormat="1" ht="35.1" customHeight="1" thickBot="1" x14ac:dyDescent="0.3">
      <c r="A10" s="19" t="s">
        <v>30</v>
      </c>
      <c r="B10" s="86">
        <v>1</v>
      </c>
      <c r="C10" s="66">
        <v>1.75</v>
      </c>
      <c r="D10" s="66">
        <f>SUM(E10:AR10)</f>
        <v>1.25</v>
      </c>
      <c r="E10" s="42"/>
      <c r="F10" s="39"/>
      <c r="G10" s="39"/>
      <c r="H10" s="72">
        <v>0.75</v>
      </c>
      <c r="I10" s="65">
        <v>0.5</v>
      </c>
      <c r="J10" s="39"/>
      <c r="K10" s="39"/>
      <c r="L10" s="43"/>
      <c r="M10" s="42"/>
      <c r="N10" s="39"/>
      <c r="O10" s="39"/>
      <c r="P10" s="43"/>
      <c r="Q10" s="166"/>
      <c r="R10" s="167"/>
      <c r="S10" s="167"/>
      <c r="T10" s="43"/>
      <c r="U10" s="42"/>
      <c r="V10" s="39"/>
      <c r="W10" s="39"/>
      <c r="X10" s="43"/>
      <c r="Y10" s="39"/>
      <c r="Z10" s="39"/>
      <c r="AA10" s="39"/>
      <c r="AB10" s="43"/>
      <c r="AC10" s="42"/>
      <c r="AD10" s="39"/>
      <c r="AE10" s="39"/>
      <c r="AF10" s="43"/>
      <c r="AG10" s="42"/>
      <c r="AH10" s="39"/>
      <c r="AI10" s="39"/>
      <c r="AJ10" s="43"/>
      <c r="AK10" s="42"/>
      <c r="AL10" s="39"/>
      <c r="AM10" s="39"/>
      <c r="AN10" s="43"/>
      <c r="AO10" s="42"/>
      <c r="AP10" s="39"/>
      <c r="AQ10" s="39"/>
      <c r="AR10" s="43"/>
    </row>
    <row r="11" spans="1:62" s="2" customFormat="1" ht="35.1" customHeight="1" x14ac:dyDescent="0.25">
      <c r="A11" s="31" t="s">
        <v>31</v>
      </c>
      <c r="B11" s="87">
        <v>1</v>
      </c>
      <c r="C11" s="67">
        <v>1</v>
      </c>
      <c r="D11" s="67">
        <f>SUM(E11:AR11)</f>
        <v>0.5</v>
      </c>
      <c r="E11" s="48"/>
      <c r="F11" s="46"/>
      <c r="G11" s="46"/>
      <c r="H11" s="47"/>
      <c r="I11" s="84">
        <v>0.5</v>
      </c>
      <c r="J11" s="46"/>
      <c r="K11" s="46"/>
      <c r="L11" s="47"/>
      <c r="M11" s="48"/>
      <c r="N11" s="46"/>
      <c r="O11" s="46"/>
      <c r="P11" s="47"/>
      <c r="Q11" s="168"/>
      <c r="R11" s="169"/>
      <c r="S11" s="169"/>
      <c r="T11" s="47"/>
      <c r="U11" s="48"/>
      <c r="V11" s="46"/>
      <c r="W11" s="46"/>
      <c r="X11" s="47"/>
      <c r="Y11" s="46"/>
      <c r="Z11" s="46"/>
      <c r="AA11" s="46"/>
      <c r="AB11" s="47"/>
      <c r="AC11" s="48"/>
      <c r="AD11" s="46"/>
      <c r="AE11" s="46"/>
      <c r="AF11" s="47"/>
      <c r="AG11" s="48"/>
      <c r="AH11" s="46"/>
      <c r="AI11" s="46"/>
      <c r="AJ11" s="47"/>
      <c r="AK11" s="48"/>
      <c r="AL11" s="46"/>
      <c r="AM11" s="46"/>
      <c r="AN11" s="47"/>
      <c r="AO11" s="48"/>
      <c r="AP11" s="46"/>
      <c r="AQ11" s="46"/>
      <c r="AR11" s="47"/>
    </row>
    <row r="12" spans="1:62" s="2" customFormat="1" ht="35.1" customHeight="1" thickBot="1" x14ac:dyDescent="0.3">
      <c r="A12" s="30" t="s">
        <v>32</v>
      </c>
      <c r="B12" s="88">
        <f>SUMPRODUCT(B13:B16, C13:C16) / SUM(C13:C16)</f>
        <v>1</v>
      </c>
      <c r="C12" s="68">
        <f>SUM(C13:C16)</f>
        <v>11</v>
      </c>
      <c r="D12" s="68">
        <f>SUM(D13:D16)</f>
        <v>7.5</v>
      </c>
      <c r="E12" s="49"/>
      <c r="F12" s="49"/>
      <c r="G12" s="49"/>
      <c r="H12" s="50"/>
      <c r="I12" s="49"/>
      <c r="J12" s="49"/>
      <c r="K12" s="49"/>
      <c r="L12" s="50"/>
      <c r="M12" s="49"/>
      <c r="N12" s="49"/>
      <c r="O12" s="52"/>
      <c r="P12" s="53"/>
      <c r="Q12" s="170"/>
      <c r="R12" s="127"/>
      <c r="S12" s="127"/>
      <c r="T12" s="53"/>
      <c r="U12" s="51"/>
      <c r="V12" s="52"/>
      <c r="W12" s="52"/>
      <c r="X12" s="53"/>
      <c r="Y12" s="52"/>
      <c r="Z12" s="52"/>
      <c r="AA12" s="52"/>
      <c r="AB12" s="53"/>
      <c r="AC12" s="51"/>
      <c r="AD12" s="52"/>
      <c r="AE12" s="52"/>
      <c r="AF12" s="53"/>
      <c r="AG12" s="51"/>
      <c r="AH12" s="52"/>
      <c r="AI12" s="52"/>
      <c r="AJ12" s="53"/>
      <c r="AK12" s="51"/>
      <c r="AL12" s="52"/>
      <c r="AM12" s="52"/>
      <c r="AN12" s="53"/>
      <c r="AO12" s="51"/>
      <c r="AP12" s="52"/>
      <c r="AQ12" s="52"/>
      <c r="AR12" s="116"/>
    </row>
    <row r="13" spans="1:62" s="32" customFormat="1" ht="34.5" customHeight="1" thickBot="1" x14ac:dyDescent="0.3">
      <c r="A13" s="20" t="s">
        <v>33</v>
      </c>
      <c r="B13" s="89">
        <v>1</v>
      </c>
      <c r="C13" s="66">
        <v>2</v>
      </c>
      <c r="D13" s="66">
        <f>SUM(E13:AR13)</f>
        <v>3</v>
      </c>
      <c r="E13" s="65">
        <v>0.25</v>
      </c>
      <c r="F13" s="38">
        <v>2</v>
      </c>
      <c r="G13" s="38">
        <v>0.5</v>
      </c>
      <c r="H13" s="43"/>
      <c r="I13" s="42"/>
      <c r="J13" s="38">
        <v>0.25</v>
      </c>
      <c r="K13" s="2"/>
      <c r="L13" s="43"/>
      <c r="M13" s="42"/>
      <c r="N13" s="39"/>
      <c r="O13" s="39"/>
      <c r="P13" s="43"/>
      <c r="Q13" s="166"/>
      <c r="R13" s="167"/>
      <c r="S13" s="167"/>
      <c r="T13" s="43"/>
      <c r="U13" s="42"/>
      <c r="V13" s="39"/>
      <c r="W13" s="39"/>
      <c r="X13" s="43"/>
      <c r="Y13" s="39"/>
      <c r="Z13" s="39"/>
      <c r="AA13" s="39"/>
      <c r="AB13" s="43"/>
      <c r="AC13" s="42"/>
      <c r="AD13" s="39"/>
      <c r="AE13" s="39"/>
      <c r="AF13" s="43"/>
      <c r="AG13" s="42"/>
      <c r="AH13" s="39"/>
      <c r="AI13" s="39"/>
      <c r="AJ13" s="43"/>
      <c r="AK13" s="42"/>
      <c r="AL13" s="39"/>
      <c r="AM13" s="39"/>
      <c r="AN13" s="43"/>
      <c r="AO13" s="42"/>
      <c r="AP13" s="39"/>
      <c r="AQ13" s="39"/>
      <c r="AR13" s="43"/>
      <c r="AS13" s="2"/>
      <c r="AT13" s="2"/>
      <c r="AU13" s="2"/>
      <c r="AV13" s="2"/>
      <c r="AW13" s="2"/>
      <c r="AX13" s="2"/>
      <c r="AY13" s="2"/>
      <c r="AZ13" s="2"/>
      <c r="BA13" s="2"/>
    </row>
    <row r="14" spans="1:62" s="32" customFormat="1" ht="35.1" customHeight="1" thickBot="1" x14ac:dyDescent="0.3">
      <c r="A14" s="20" t="s">
        <v>58</v>
      </c>
      <c r="B14" s="89">
        <v>1</v>
      </c>
      <c r="C14" s="66">
        <v>4</v>
      </c>
      <c r="D14" s="66">
        <f>SUM(E14:AR14)</f>
        <v>1.25</v>
      </c>
      <c r="E14" s="42"/>
      <c r="F14" s="39"/>
      <c r="G14" s="39"/>
      <c r="H14" s="43"/>
      <c r="I14" s="65">
        <v>0.5</v>
      </c>
      <c r="J14" s="65">
        <v>0.75</v>
      </c>
      <c r="K14" s="39"/>
      <c r="L14" s="43"/>
      <c r="M14" s="42"/>
      <c r="N14" s="39"/>
      <c r="O14" s="39"/>
      <c r="P14" s="43"/>
      <c r="Q14" s="166"/>
      <c r="R14" s="167"/>
      <c r="S14" s="167"/>
      <c r="T14" s="43"/>
      <c r="U14" s="42"/>
      <c r="V14" s="39"/>
      <c r="W14" s="39"/>
      <c r="X14" s="43"/>
      <c r="Y14" s="39"/>
      <c r="Z14" s="39"/>
      <c r="AA14" s="39"/>
      <c r="AB14" s="43"/>
      <c r="AC14" s="42"/>
      <c r="AD14" s="39"/>
      <c r="AE14" s="39"/>
      <c r="AF14" s="43"/>
      <c r="AG14" s="42"/>
      <c r="AH14" s="39"/>
      <c r="AI14" s="39"/>
      <c r="AJ14" s="43"/>
      <c r="AK14" s="42"/>
      <c r="AL14" s="39"/>
      <c r="AM14" s="39"/>
      <c r="AN14" s="43"/>
      <c r="AO14" s="42"/>
      <c r="AP14" s="39"/>
      <c r="AQ14" s="39"/>
      <c r="AR14" s="43"/>
      <c r="AS14" s="2"/>
      <c r="AT14" s="2"/>
      <c r="AU14" s="2"/>
      <c r="AV14" s="2"/>
      <c r="AW14" s="2"/>
      <c r="AX14" s="2"/>
      <c r="AY14" s="2"/>
      <c r="AZ14" s="2"/>
      <c r="BA14" s="2"/>
      <c r="BB14" s="2"/>
      <c r="BC14" s="2"/>
      <c r="BD14" s="2"/>
      <c r="BE14" s="2"/>
      <c r="BF14" s="2"/>
      <c r="BG14" s="2"/>
      <c r="BH14" s="2"/>
      <c r="BI14" s="2"/>
      <c r="BJ14" s="2"/>
    </row>
    <row r="15" spans="1:62" s="2" customFormat="1" ht="35.1" customHeight="1" thickBot="1" x14ac:dyDescent="0.3">
      <c r="A15" s="20" t="s">
        <v>34</v>
      </c>
      <c r="B15" s="89">
        <v>1</v>
      </c>
      <c r="C15" s="66">
        <v>2.5</v>
      </c>
      <c r="D15" s="66">
        <f>SUM(E15:AR15)</f>
        <v>2</v>
      </c>
      <c r="E15" s="42"/>
      <c r="F15" s="39"/>
      <c r="G15" s="39"/>
      <c r="H15" s="43"/>
      <c r="I15" s="42"/>
      <c r="J15" s="39"/>
      <c r="K15" s="38">
        <v>0.5</v>
      </c>
      <c r="L15" s="101">
        <v>1</v>
      </c>
      <c r="M15" s="42"/>
      <c r="N15" s="38">
        <v>0.5</v>
      </c>
      <c r="O15" s="39"/>
      <c r="P15" s="43"/>
      <c r="Q15" s="166"/>
      <c r="R15" s="167"/>
      <c r="S15" s="167"/>
      <c r="T15" s="43"/>
      <c r="U15" s="42"/>
      <c r="V15" s="39"/>
      <c r="W15" s="39"/>
      <c r="X15" s="43"/>
      <c r="Y15" s="39"/>
      <c r="Z15" s="39"/>
      <c r="AA15" s="39"/>
      <c r="AB15" s="43"/>
      <c r="AC15" s="42"/>
      <c r="AD15" s="39"/>
      <c r="AE15" s="39"/>
      <c r="AF15" s="43"/>
      <c r="AG15" s="42"/>
      <c r="AH15" s="39"/>
      <c r="AI15" s="39"/>
      <c r="AJ15" s="43"/>
      <c r="AK15" s="42"/>
      <c r="AL15" s="39"/>
      <c r="AM15" s="39"/>
      <c r="AN15" s="43"/>
      <c r="AO15" s="42"/>
      <c r="AP15" s="39"/>
      <c r="AQ15" s="39"/>
      <c r="AR15" s="43"/>
    </row>
    <row r="16" spans="1:62" s="2" customFormat="1" ht="35.1" customHeight="1" x14ac:dyDescent="0.25">
      <c r="A16" s="35" t="s">
        <v>57</v>
      </c>
      <c r="B16" s="90">
        <v>1</v>
      </c>
      <c r="C16" s="67">
        <v>2.5</v>
      </c>
      <c r="D16" s="67">
        <f>SUM(E16:AR16)</f>
        <v>1.25</v>
      </c>
      <c r="E16" s="48"/>
      <c r="F16" s="46"/>
      <c r="G16" s="46"/>
      <c r="H16" s="47"/>
      <c r="I16" s="48"/>
      <c r="J16" s="46"/>
      <c r="K16" s="46"/>
      <c r="L16" s="47"/>
      <c r="M16" s="84">
        <v>1.25</v>
      </c>
      <c r="N16" s="46"/>
      <c r="O16" s="46"/>
      <c r="P16" s="47"/>
      <c r="Q16" s="168"/>
      <c r="R16" s="169"/>
      <c r="S16" s="169"/>
      <c r="T16" s="47"/>
      <c r="U16" s="48"/>
      <c r="V16" s="46"/>
      <c r="W16" s="46"/>
      <c r="X16" s="47"/>
      <c r="Y16" s="46"/>
      <c r="Z16" s="46"/>
      <c r="AA16" s="46"/>
      <c r="AB16" s="47"/>
      <c r="AC16" s="48"/>
      <c r="AD16" s="46"/>
      <c r="AE16" s="46"/>
      <c r="AF16" s="47"/>
      <c r="AG16" s="48"/>
      <c r="AH16" s="46"/>
      <c r="AI16" s="46"/>
      <c r="AJ16" s="47"/>
      <c r="AK16" s="48"/>
      <c r="AL16" s="46"/>
      <c r="AM16" s="46"/>
      <c r="AN16" s="47"/>
      <c r="AO16" s="48"/>
      <c r="AP16" s="46"/>
      <c r="AQ16" s="46"/>
      <c r="AR16" s="47"/>
    </row>
    <row r="17" spans="1:53" s="2" customFormat="1" ht="35.1" customHeight="1" thickBot="1" x14ac:dyDescent="0.3">
      <c r="A17" s="33" t="s">
        <v>35</v>
      </c>
      <c r="B17" s="91">
        <f>SUMPRODUCT(B18:B18, C18:C18) / SUM( C18:C18)</f>
        <v>1</v>
      </c>
      <c r="C17" s="68">
        <f>SUM(C18:C18)</f>
        <v>1</v>
      </c>
      <c r="D17" s="68">
        <f>SUM(D18:D18)</f>
        <v>0.5</v>
      </c>
      <c r="E17" s="51"/>
      <c r="F17" s="52"/>
      <c r="G17" s="52"/>
      <c r="H17" s="53"/>
      <c r="I17" s="51"/>
      <c r="J17" s="52"/>
      <c r="K17" s="52"/>
      <c r="L17" s="53"/>
      <c r="M17" s="51"/>
      <c r="N17" s="52"/>
      <c r="O17" s="34"/>
      <c r="P17" s="53"/>
      <c r="Q17" s="170"/>
      <c r="R17" s="127"/>
      <c r="S17" s="127"/>
      <c r="T17" s="53"/>
      <c r="U17" s="51"/>
      <c r="V17" s="52"/>
      <c r="W17" s="52"/>
      <c r="X17" s="53"/>
      <c r="Y17" s="52"/>
      <c r="Z17" s="52"/>
      <c r="AA17" s="52"/>
      <c r="AB17" s="53"/>
      <c r="AC17" s="51"/>
      <c r="AD17" s="52"/>
      <c r="AE17" s="52"/>
      <c r="AF17" s="53"/>
      <c r="AG17" s="51"/>
      <c r="AH17" s="52"/>
      <c r="AI17" s="52"/>
      <c r="AJ17" s="53"/>
      <c r="AK17" s="51"/>
      <c r="AL17" s="52"/>
      <c r="AM17" s="52"/>
      <c r="AN17" s="53"/>
      <c r="AO17" s="51"/>
      <c r="AP17" s="52"/>
      <c r="AQ17" s="52"/>
      <c r="AR17" s="53"/>
    </row>
    <row r="18" spans="1:53" s="2" customFormat="1" ht="35.1" customHeight="1" x14ac:dyDescent="0.25">
      <c r="A18" s="113" t="s">
        <v>36</v>
      </c>
      <c r="B18" s="92">
        <v>1</v>
      </c>
      <c r="C18" s="69">
        <v>1</v>
      </c>
      <c r="D18" s="69">
        <f>SUM(E18:AR18)</f>
        <v>0.5</v>
      </c>
      <c r="E18" s="57"/>
      <c r="F18" s="55"/>
      <c r="G18" s="55"/>
      <c r="H18" s="56"/>
      <c r="I18" s="57"/>
      <c r="J18" s="55"/>
      <c r="K18" s="55"/>
      <c r="L18" s="56"/>
      <c r="M18" s="57"/>
      <c r="N18" s="55"/>
      <c r="O18" s="114">
        <v>0.5</v>
      </c>
      <c r="P18" s="56"/>
      <c r="Q18" s="171"/>
      <c r="R18" s="172"/>
      <c r="S18" s="172"/>
      <c r="T18" s="56"/>
      <c r="U18" s="57"/>
      <c r="V18" s="55"/>
      <c r="W18" s="55"/>
      <c r="X18" s="56"/>
      <c r="Y18" s="55"/>
      <c r="Z18" s="55"/>
      <c r="AA18" s="55"/>
      <c r="AB18" s="56"/>
      <c r="AC18" s="57"/>
      <c r="AD18" s="55"/>
      <c r="AE18" s="55"/>
      <c r="AF18" s="56"/>
      <c r="AG18" s="57"/>
      <c r="AH18" s="55"/>
      <c r="AI18" s="55"/>
      <c r="AJ18" s="56"/>
      <c r="AK18" s="57"/>
      <c r="AL18" s="55"/>
      <c r="AM18" s="55"/>
      <c r="AN18" s="56"/>
      <c r="AO18" s="57"/>
      <c r="AP18" s="55"/>
      <c r="AQ18" s="55"/>
      <c r="AR18" s="56"/>
    </row>
    <row r="19" spans="1:53" s="2" customFormat="1" ht="35.1" customHeight="1" thickBot="1" x14ac:dyDescent="0.3">
      <c r="A19" s="115" t="s">
        <v>37</v>
      </c>
      <c r="B19" s="93">
        <f>SUMPRODUCT(B20:B27, C20:C27) / SUM(C20:C27)</f>
        <v>1</v>
      </c>
      <c r="C19" s="70">
        <f>SUM(C20:C27)</f>
        <v>22</v>
      </c>
      <c r="D19" s="70">
        <f>SUM(D20:D27)</f>
        <v>10.75</v>
      </c>
      <c r="E19" s="63"/>
      <c r="F19" s="61"/>
      <c r="G19" s="61"/>
      <c r="H19" s="116"/>
      <c r="I19" s="63"/>
      <c r="J19" s="61"/>
      <c r="K19" s="61"/>
      <c r="L19" s="116"/>
      <c r="M19" s="63"/>
      <c r="N19" s="117"/>
      <c r="O19" s="119"/>
      <c r="P19" s="118"/>
      <c r="Q19" s="173"/>
      <c r="R19" s="174"/>
      <c r="S19" s="174"/>
      <c r="T19" s="120"/>
      <c r="U19" s="121"/>
      <c r="V19" s="121"/>
      <c r="W19" s="121"/>
      <c r="X19" s="120"/>
      <c r="Y19" s="121"/>
      <c r="Z19" s="121"/>
      <c r="AA19" s="121"/>
      <c r="AB19" s="120"/>
      <c r="AC19" s="121"/>
      <c r="AD19" s="61"/>
      <c r="AE19" s="61"/>
      <c r="AF19" s="116"/>
      <c r="AG19" s="63"/>
      <c r="AH19" s="61"/>
      <c r="AI19" s="61"/>
      <c r="AJ19" s="116"/>
      <c r="AK19" s="63"/>
      <c r="AL19" s="61"/>
      <c r="AM19" s="61"/>
      <c r="AN19" s="116"/>
      <c r="AO19" s="63"/>
      <c r="AP19" s="61"/>
      <c r="AQ19" s="61"/>
      <c r="AR19" s="116"/>
    </row>
    <row r="20" spans="1:53" s="2" customFormat="1" ht="35.1" customHeight="1" thickBot="1" x14ac:dyDescent="0.3">
      <c r="A20" s="22" t="s">
        <v>38</v>
      </c>
      <c r="B20" s="94">
        <v>1</v>
      </c>
      <c r="C20" s="66">
        <v>2</v>
      </c>
      <c r="D20" s="66">
        <f t="shared" ref="D20:D25" si="0">SUM(E20:AR20)</f>
        <v>2.25</v>
      </c>
      <c r="E20" s="42"/>
      <c r="F20" s="39"/>
      <c r="G20" s="39"/>
      <c r="H20" s="43"/>
      <c r="I20" s="42"/>
      <c r="J20" s="39"/>
      <c r="K20" s="39"/>
      <c r="L20" s="43"/>
      <c r="M20" s="42"/>
      <c r="N20" s="39"/>
      <c r="O20" s="38">
        <v>1</v>
      </c>
      <c r="P20" s="124">
        <v>0.75</v>
      </c>
      <c r="Q20" s="166"/>
      <c r="R20" s="167"/>
      <c r="S20" s="167"/>
      <c r="T20" s="43"/>
      <c r="U20" s="65">
        <v>0.5</v>
      </c>
      <c r="V20" s="39"/>
      <c r="W20" s="39"/>
      <c r="X20" s="43"/>
      <c r="Y20" s="42"/>
      <c r="Z20" s="39"/>
      <c r="AA20" s="39"/>
      <c r="AB20" s="43"/>
      <c r="AC20" s="42"/>
      <c r="AD20" s="39"/>
      <c r="AE20" s="39"/>
      <c r="AF20" s="43"/>
      <c r="AG20" s="42"/>
      <c r="AH20" s="39"/>
      <c r="AI20" s="39"/>
      <c r="AJ20" s="43"/>
      <c r="AK20" s="42"/>
      <c r="AL20" s="39"/>
      <c r="AM20" s="39"/>
      <c r="AN20" s="43"/>
      <c r="AO20" s="42"/>
      <c r="AP20" s="39"/>
      <c r="AQ20" s="39"/>
      <c r="AR20" s="43"/>
    </row>
    <row r="21" spans="1:53" s="2" customFormat="1" ht="35.1" customHeight="1" thickBot="1" x14ac:dyDescent="0.3">
      <c r="A21" s="22" t="s">
        <v>39</v>
      </c>
      <c r="B21" s="94">
        <v>1</v>
      </c>
      <c r="C21" s="66">
        <v>3</v>
      </c>
      <c r="D21" s="66">
        <f>SUM(E21:AR21)</f>
        <v>1.75</v>
      </c>
      <c r="E21" s="42"/>
      <c r="F21" s="39"/>
      <c r="G21" s="39"/>
      <c r="H21" s="43"/>
      <c r="I21" s="42"/>
      <c r="J21" s="39"/>
      <c r="K21" s="39"/>
      <c r="L21" s="43"/>
      <c r="M21" s="42"/>
      <c r="N21" s="39"/>
      <c r="O21" s="39"/>
      <c r="P21" s="72">
        <v>0.75</v>
      </c>
      <c r="Q21" s="166"/>
      <c r="R21" s="167"/>
      <c r="S21" s="167"/>
      <c r="T21" s="72">
        <v>0.75</v>
      </c>
      <c r="U21" s="65">
        <v>0.25</v>
      </c>
      <c r="V21" s="39"/>
      <c r="W21" s="39"/>
      <c r="X21" s="43"/>
      <c r="Y21" s="39"/>
      <c r="Z21" s="39"/>
      <c r="AA21" s="39"/>
      <c r="AB21" s="43"/>
      <c r="AC21" s="42"/>
      <c r="AD21" s="39"/>
      <c r="AE21" s="39"/>
      <c r="AF21" s="43"/>
      <c r="AG21" s="42"/>
      <c r="AH21" s="39"/>
      <c r="AI21" s="39"/>
      <c r="AJ21" s="43"/>
      <c r="AK21" s="42"/>
      <c r="AL21" s="39"/>
      <c r="AM21" s="39"/>
      <c r="AN21" s="43"/>
      <c r="AO21" s="42"/>
      <c r="AP21" s="39"/>
      <c r="AQ21" s="39"/>
      <c r="AR21" s="43"/>
    </row>
    <row r="22" spans="1:53" s="2" customFormat="1" ht="35.1" customHeight="1" thickBot="1" x14ac:dyDescent="0.3">
      <c r="A22" s="22" t="s">
        <v>40</v>
      </c>
      <c r="B22" s="94">
        <v>1</v>
      </c>
      <c r="C22" s="66">
        <v>3</v>
      </c>
      <c r="D22" s="66">
        <f t="shared" si="0"/>
        <v>1.5</v>
      </c>
      <c r="E22" s="42"/>
      <c r="F22" s="39"/>
      <c r="G22" s="39"/>
      <c r="H22" s="43"/>
      <c r="I22" s="42"/>
      <c r="J22" s="39"/>
      <c r="K22" s="39"/>
      <c r="L22" s="43"/>
      <c r="M22" s="42"/>
      <c r="N22" s="39"/>
      <c r="O22" s="39"/>
      <c r="P22" s="43"/>
      <c r="Q22" s="166"/>
      <c r="R22" s="167"/>
      <c r="S22" s="167"/>
      <c r="T22" s="72">
        <v>0.25</v>
      </c>
      <c r="U22" s="65">
        <v>0.75</v>
      </c>
      <c r="V22" s="38">
        <v>0.5</v>
      </c>
      <c r="W22" s="39"/>
      <c r="X22" s="43"/>
      <c r="Y22" s="39"/>
      <c r="Z22" s="39"/>
      <c r="AA22" s="39"/>
      <c r="AB22" s="43"/>
      <c r="AC22" s="42"/>
      <c r="AD22" s="39"/>
      <c r="AE22" s="39"/>
      <c r="AF22" s="43"/>
      <c r="AG22" s="42"/>
      <c r="AH22" s="39"/>
      <c r="AI22" s="39"/>
      <c r="AJ22" s="43"/>
      <c r="AK22" s="42"/>
      <c r="AL22" s="39"/>
      <c r="AM22" s="39"/>
      <c r="AN22" s="43"/>
      <c r="AO22" s="42"/>
      <c r="AP22" s="39"/>
      <c r="AQ22" s="39"/>
      <c r="AR22" s="43"/>
    </row>
    <row r="23" spans="1:53" s="2" customFormat="1" ht="35.1" customHeight="1" thickBot="1" x14ac:dyDescent="0.3">
      <c r="A23" s="22" t="s">
        <v>41</v>
      </c>
      <c r="B23" s="94">
        <v>1</v>
      </c>
      <c r="C23" s="66">
        <v>3</v>
      </c>
      <c r="D23" s="66">
        <f t="shared" si="0"/>
        <v>2.25</v>
      </c>
      <c r="E23" s="42"/>
      <c r="F23" s="39"/>
      <c r="G23" s="39"/>
      <c r="H23" s="43"/>
      <c r="I23" s="42"/>
      <c r="J23" s="39"/>
      <c r="K23" s="39"/>
      <c r="L23" s="43"/>
      <c r="M23" s="42"/>
      <c r="N23" s="39"/>
      <c r="O23" s="39"/>
      <c r="P23" s="43"/>
      <c r="Q23" s="166"/>
      <c r="R23" s="167"/>
      <c r="S23" s="167"/>
      <c r="T23" s="72">
        <v>0.5</v>
      </c>
      <c r="U23" s="65">
        <v>0.25</v>
      </c>
      <c r="V23" s="38">
        <v>1.25</v>
      </c>
      <c r="W23" s="38">
        <v>0.25</v>
      </c>
      <c r="X23" s="43"/>
      <c r="Y23" s="42"/>
      <c r="Z23" s="39"/>
      <c r="AA23" s="39"/>
      <c r="AB23" s="43"/>
      <c r="AC23" s="42"/>
      <c r="AD23" s="39"/>
      <c r="AE23" s="39"/>
      <c r="AF23" s="43"/>
      <c r="AG23" s="42"/>
      <c r="AH23" s="39"/>
      <c r="AI23" s="39"/>
      <c r="AJ23" s="43"/>
      <c r="AK23" s="42"/>
      <c r="AL23" s="39"/>
      <c r="AM23" s="39"/>
      <c r="AN23" s="43"/>
      <c r="AO23" s="42"/>
      <c r="AP23" s="39"/>
      <c r="AQ23" s="39"/>
      <c r="AR23" s="43"/>
    </row>
    <row r="24" spans="1:53" s="2" customFormat="1" ht="35.1" customHeight="1" thickBot="1" x14ac:dyDescent="0.3">
      <c r="A24" s="22" t="s">
        <v>42</v>
      </c>
      <c r="B24" s="94">
        <v>1</v>
      </c>
      <c r="C24" s="66">
        <v>4</v>
      </c>
      <c r="D24" s="66">
        <f t="shared" si="0"/>
        <v>0.25</v>
      </c>
      <c r="E24" s="42"/>
      <c r="F24" s="39"/>
      <c r="G24" s="39"/>
      <c r="H24" s="43"/>
      <c r="I24" s="42"/>
      <c r="J24" s="39"/>
      <c r="K24" s="39"/>
      <c r="L24" s="43"/>
      <c r="M24" s="42"/>
      <c r="N24" s="39"/>
      <c r="O24" s="39"/>
      <c r="P24" s="43"/>
      <c r="Q24" s="166"/>
      <c r="R24" s="167"/>
      <c r="S24" s="167"/>
      <c r="T24" s="43"/>
      <c r="U24" s="65">
        <v>0.25</v>
      </c>
      <c r="W24" s="39"/>
      <c r="X24" s="43"/>
      <c r="Y24" s="39"/>
      <c r="Z24" s="39"/>
      <c r="AA24" s="39"/>
      <c r="AB24" s="43"/>
      <c r="AC24" s="42"/>
      <c r="AD24" s="39"/>
      <c r="AE24" s="39"/>
      <c r="AF24" s="43"/>
      <c r="AG24" s="42"/>
      <c r="AH24" s="39"/>
      <c r="AI24" s="39"/>
      <c r="AJ24" s="43"/>
      <c r="AK24" s="42"/>
      <c r="AL24" s="39"/>
      <c r="AM24" s="39"/>
      <c r="AN24" s="43"/>
      <c r="AO24" s="42"/>
      <c r="AP24" s="39"/>
      <c r="AQ24" s="39"/>
      <c r="AR24" s="43"/>
    </row>
    <row r="25" spans="1:53" s="2" customFormat="1" ht="35.1" customHeight="1" thickBot="1" x14ac:dyDescent="0.3">
      <c r="A25" s="22" t="s">
        <v>43</v>
      </c>
      <c r="B25" s="95">
        <v>1</v>
      </c>
      <c r="C25" s="69">
        <v>3</v>
      </c>
      <c r="D25" s="66">
        <f t="shared" si="0"/>
        <v>1.75</v>
      </c>
      <c r="E25" s="57"/>
      <c r="F25" s="55"/>
      <c r="G25" s="55"/>
      <c r="H25" s="56"/>
      <c r="I25" s="57"/>
      <c r="J25" s="55"/>
      <c r="K25" s="55"/>
      <c r="L25" s="56"/>
      <c r="M25" s="57"/>
      <c r="N25" s="55"/>
      <c r="O25" s="55"/>
      <c r="P25" s="56"/>
      <c r="Q25" s="171"/>
      <c r="R25" s="172"/>
      <c r="S25" s="172"/>
      <c r="T25" s="56"/>
      <c r="U25" s="57"/>
      <c r="V25" s="55"/>
      <c r="W25" s="55"/>
      <c r="X25" s="129">
        <v>0.5</v>
      </c>
      <c r="Y25" s="114">
        <v>1.25</v>
      </c>
      <c r="Z25" s="55"/>
      <c r="AA25" s="55"/>
      <c r="AB25" s="56"/>
      <c r="AC25" s="42"/>
      <c r="AD25" s="39"/>
      <c r="AE25" s="55"/>
      <c r="AF25" s="56"/>
      <c r="AG25" s="57"/>
      <c r="AH25" s="55"/>
      <c r="AI25" s="55"/>
      <c r="AJ25" s="56"/>
      <c r="AK25" s="57"/>
      <c r="AL25" s="55"/>
      <c r="AM25" s="55"/>
      <c r="AN25" s="56"/>
      <c r="AO25" s="57"/>
      <c r="AP25" s="55"/>
      <c r="AQ25" s="55"/>
      <c r="AR25" s="43"/>
    </row>
    <row r="26" spans="1:53" s="2" customFormat="1" ht="35.1" customHeight="1" thickBot="1" x14ac:dyDescent="0.3">
      <c r="A26" s="36" t="s">
        <v>62</v>
      </c>
      <c r="B26" s="95">
        <v>1</v>
      </c>
      <c r="C26" s="67">
        <v>3</v>
      </c>
      <c r="D26" s="67">
        <f>SUM(E26:AR26)</f>
        <v>0.5</v>
      </c>
      <c r="E26" s="48"/>
      <c r="F26" s="46"/>
      <c r="G26" s="46"/>
      <c r="H26" s="47"/>
      <c r="I26" s="48"/>
      <c r="J26" s="46"/>
      <c r="K26" s="46"/>
      <c r="L26" s="47"/>
      <c r="M26" s="48"/>
      <c r="N26" s="46"/>
      <c r="O26" s="46"/>
      <c r="P26" s="47"/>
      <c r="Q26" s="168"/>
      <c r="R26" s="169"/>
      <c r="S26" s="169"/>
      <c r="T26" s="47"/>
      <c r="U26" s="48"/>
      <c r="V26" s="46"/>
      <c r="W26" s="46"/>
      <c r="X26" s="47"/>
      <c r="Y26" s="46"/>
      <c r="Z26" s="132">
        <v>0.5</v>
      </c>
      <c r="AA26" s="55"/>
      <c r="AB26" s="47"/>
      <c r="AC26" s="48"/>
      <c r="AD26" s="46"/>
      <c r="AE26" s="46"/>
      <c r="AF26" s="47"/>
      <c r="AG26" s="48"/>
      <c r="AH26" s="46"/>
      <c r="AI26" s="46"/>
      <c r="AJ26" s="47"/>
      <c r="AK26" s="48"/>
      <c r="AL26" s="46"/>
      <c r="AM26" s="46"/>
      <c r="AN26" s="47"/>
      <c r="AO26" s="48"/>
      <c r="AP26" s="46"/>
      <c r="AQ26" s="46"/>
      <c r="AR26" s="47"/>
    </row>
    <row r="27" spans="1:53" s="117" customFormat="1" ht="35.1" customHeight="1" x14ac:dyDescent="0.25">
      <c r="A27" s="130" t="s">
        <v>61</v>
      </c>
      <c r="B27" s="95">
        <v>1</v>
      </c>
      <c r="C27" s="69">
        <v>1</v>
      </c>
      <c r="D27" s="69">
        <f>SUM(E27:AR27)</f>
        <v>0.5</v>
      </c>
      <c r="E27" s="57"/>
      <c r="F27" s="55"/>
      <c r="G27" s="55"/>
      <c r="H27" s="56"/>
      <c r="I27" s="57"/>
      <c r="J27" s="55"/>
      <c r="K27" s="55"/>
      <c r="L27" s="56"/>
      <c r="M27" s="57"/>
      <c r="N27" s="55"/>
      <c r="O27" s="55"/>
      <c r="P27" s="56"/>
      <c r="Q27" s="171"/>
      <c r="R27" s="172"/>
      <c r="S27" s="172"/>
      <c r="T27" s="56"/>
      <c r="U27" s="57"/>
      <c r="V27" s="55"/>
      <c r="W27" s="55"/>
      <c r="X27" s="56"/>
      <c r="Y27" s="55"/>
      <c r="Z27" s="55"/>
      <c r="AA27" s="55"/>
      <c r="AB27" s="56"/>
      <c r="AC27" s="133">
        <v>0.5</v>
      </c>
      <c r="AD27" s="55"/>
      <c r="AE27" s="46"/>
      <c r="AF27" s="56"/>
      <c r="AG27" s="57"/>
      <c r="AH27" s="55"/>
      <c r="AI27" s="55"/>
      <c r="AJ27" s="56"/>
      <c r="AK27" s="57"/>
      <c r="AL27" s="55"/>
      <c r="AM27" s="55"/>
      <c r="AN27" s="56"/>
      <c r="AO27" s="57"/>
      <c r="AP27" s="55"/>
      <c r="AQ27" s="55"/>
      <c r="AR27" s="47"/>
      <c r="AS27" s="2"/>
      <c r="AT27" s="2"/>
      <c r="AU27" s="2"/>
      <c r="AV27" s="2"/>
      <c r="AW27" s="2"/>
      <c r="AX27" s="2"/>
      <c r="AY27" s="2"/>
      <c r="AZ27" s="2"/>
      <c r="BA27" s="2"/>
    </row>
    <row r="28" spans="1:53" s="2" customFormat="1" ht="35.1" customHeight="1" thickBot="1" x14ac:dyDescent="0.3">
      <c r="A28" s="131" t="s">
        <v>44</v>
      </c>
      <c r="B28" s="96">
        <f>SUMPRODUCT(B29:B31, C29:C31) / SUM( C29:C31)</f>
        <v>1</v>
      </c>
      <c r="C28" s="70">
        <f>SUM(C29:C31)</f>
        <v>10</v>
      </c>
      <c r="D28" s="70">
        <f>SUM(D29:D31)</f>
        <v>4.5</v>
      </c>
      <c r="E28" s="63"/>
      <c r="F28" s="61"/>
      <c r="G28" s="61"/>
      <c r="H28" s="116"/>
      <c r="I28" s="63"/>
      <c r="J28" s="61"/>
      <c r="K28" s="61"/>
      <c r="L28" s="116"/>
      <c r="M28" s="63"/>
      <c r="N28" s="61"/>
      <c r="O28" s="61"/>
      <c r="P28" s="116"/>
      <c r="Q28" s="173"/>
      <c r="R28" s="174"/>
      <c r="S28" s="174"/>
      <c r="T28" s="116"/>
      <c r="U28" s="63"/>
      <c r="V28" s="61"/>
      <c r="W28" s="61"/>
      <c r="X28" s="116"/>
      <c r="Y28" s="61"/>
      <c r="Z28" s="61"/>
      <c r="AA28" s="61"/>
      <c r="AB28" s="116"/>
      <c r="AC28" s="96"/>
      <c r="AD28" s="96"/>
      <c r="AE28" s="96"/>
      <c r="AF28" s="116"/>
      <c r="AG28" s="61"/>
      <c r="AH28" s="61"/>
      <c r="AI28" s="61"/>
      <c r="AJ28" s="116"/>
      <c r="AK28" s="61"/>
      <c r="AL28" s="61"/>
      <c r="AM28" s="61"/>
      <c r="AN28" s="116"/>
      <c r="AO28" s="63"/>
      <c r="AP28" s="61"/>
      <c r="AQ28" s="61"/>
      <c r="AR28" s="116"/>
    </row>
    <row r="29" spans="1:53" s="2" customFormat="1" ht="35.1" customHeight="1" thickBot="1" x14ac:dyDescent="0.3">
      <c r="A29" s="24" t="s">
        <v>52</v>
      </c>
      <c r="B29" s="97">
        <v>1</v>
      </c>
      <c r="C29" s="68">
        <v>3</v>
      </c>
      <c r="D29" s="66">
        <f>SUM(E29:AR29)</f>
        <v>1.25</v>
      </c>
      <c r="E29" s="51"/>
      <c r="F29" s="52"/>
      <c r="G29" s="52"/>
      <c r="H29" s="53"/>
      <c r="I29" s="51"/>
      <c r="J29" s="52"/>
      <c r="K29" s="52"/>
      <c r="L29" s="53"/>
      <c r="M29" s="51"/>
      <c r="N29" s="52"/>
      <c r="O29" s="52"/>
      <c r="P29" s="53"/>
      <c r="Q29" s="170"/>
      <c r="R29" s="127"/>
      <c r="S29" s="127"/>
      <c r="T29" s="53"/>
      <c r="U29" s="51"/>
      <c r="V29" s="52"/>
      <c r="W29" s="52"/>
      <c r="X29" s="53"/>
      <c r="Y29" s="52"/>
      <c r="Z29" s="52"/>
      <c r="AA29" s="52"/>
      <c r="AB29" s="53"/>
      <c r="AC29" s="134">
        <v>0.75</v>
      </c>
      <c r="AD29" s="135">
        <v>0.5</v>
      </c>
      <c r="AE29" s="52"/>
      <c r="AF29" s="53"/>
      <c r="AG29" s="52"/>
      <c r="AH29" s="52"/>
      <c r="AI29" s="52"/>
      <c r="AJ29" s="53"/>
      <c r="AK29" s="52"/>
      <c r="AL29" s="52"/>
      <c r="AM29" s="52"/>
      <c r="AN29" s="53"/>
      <c r="AO29" s="51"/>
      <c r="AP29" s="52"/>
      <c r="AQ29" s="52"/>
      <c r="AR29" s="53"/>
    </row>
    <row r="30" spans="1:53" s="2" customFormat="1" ht="35.1" customHeight="1" thickBot="1" x14ac:dyDescent="0.3">
      <c r="A30" s="24" t="s">
        <v>53</v>
      </c>
      <c r="B30" s="97">
        <v>1</v>
      </c>
      <c r="C30" s="66">
        <v>3</v>
      </c>
      <c r="D30" s="66">
        <f>SUM(E30:AR30)</f>
        <v>2</v>
      </c>
      <c r="E30" s="42"/>
      <c r="F30" s="39"/>
      <c r="G30" s="39"/>
      <c r="H30" s="43"/>
      <c r="I30" s="42"/>
      <c r="J30" s="39"/>
      <c r="K30" s="39"/>
      <c r="L30" s="43"/>
      <c r="M30" s="42"/>
      <c r="N30" s="39"/>
      <c r="O30" s="39"/>
      <c r="P30" s="43"/>
      <c r="Q30" s="166"/>
      <c r="R30" s="167"/>
      <c r="S30" s="167"/>
      <c r="T30" s="43"/>
      <c r="U30" s="42"/>
      <c r="V30" s="39"/>
      <c r="W30" s="39"/>
      <c r="X30" s="43"/>
      <c r="Y30" s="39"/>
      <c r="Z30" s="39"/>
      <c r="AA30" s="39"/>
      <c r="AB30" s="43"/>
      <c r="AC30" s="42"/>
      <c r="AD30" s="38">
        <v>1</v>
      </c>
      <c r="AE30" s="38">
        <v>1</v>
      </c>
      <c r="AF30" s="43"/>
      <c r="AG30" s="39"/>
      <c r="AH30" s="39"/>
      <c r="AI30" s="39"/>
      <c r="AJ30" s="43"/>
      <c r="AK30" s="39"/>
      <c r="AL30" s="39"/>
      <c r="AM30" s="39"/>
      <c r="AN30" s="43"/>
      <c r="AO30" s="42"/>
      <c r="AP30" s="39"/>
      <c r="AQ30" s="39"/>
      <c r="AR30" s="43"/>
    </row>
    <row r="31" spans="1:53" s="2" customFormat="1" ht="35.1" customHeight="1" x14ac:dyDescent="0.25">
      <c r="A31" s="54" t="s">
        <v>45</v>
      </c>
      <c r="B31" s="98">
        <v>1</v>
      </c>
      <c r="C31" s="69">
        <v>4</v>
      </c>
      <c r="D31" s="67">
        <f>SUM(E31:AR31)</f>
        <v>1.25</v>
      </c>
      <c r="E31" s="57"/>
      <c r="F31" s="55"/>
      <c r="G31" s="55"/>
      <c r="H31" s="56"/>
      <c r="I31" s="57"/>
      <c r="J31" s="55"/>
      <c r="K31" s="55"/>
      <c r="L31" s="56"/>
      <c r="M31" s="57"/>
      <c r="N31" s="55"/>
      <c r="O31" s="55"/>
      <c r="P31" s="56"/>
      <c r="Q31" s="171"/>
      <c r="R31" s="172"/>
      <c r="S31" s="172"/>
      <c r="T31" s="56"/>
      <c r="U31" s="57"/>
      <c r="V31" s="55"/>
      <c r="W31" s="55"/>
      <c r="X31" s="56"/>
      <c r="Y31" s="55"/>
      <c r="Z31" s="55"/>
      <c r="AA31" s="55"/>
      <c r="AB31" s="56"/>
      <c r="AC31" s="57"/>
      <c r="AD31" s="114">
        <v>0.5</v>
      </c>
      <c r="AE31" s="114">
        <v>0.75</v>
      </c>
      <c r="AF31" s="56"/>
      <c r="AG31" s="55"/>
      <c r="AH31" s="55"/>
      <c r="AI31" s="55"/>
      <c r="AJ31" s="56"/>
      <c r="AK31" s="55"/>
      <c r="AL31" s="55"/>
      <c r="AM31" s="55"/>
      <c r="AN31" s="56"/>
      <c r="AO31" s="57"/>
      <c r="AP31" s="55"/>
      <c r="AQ31" s="55"/>
      <c r="AR31" s="56"/>
    </row>
    <row r="32" spans="1:53" s="2" customFormat="1" ht="35.1" customHeight="1" thickBot="1" x14ac:dyDescent="0.3">
      <c r="A32" s="58" t="s">
        <v>46</v>
      </c>
      <c r="B32" s="99">
        <f>SUMPRODUCT(B33:B36, C33:C36) / SUM(C33:C36)</f>
        <v>1</v>
      </c>
      <c r="C32" s="70">
        <f>SUM(C33:C36)</f>
        <v>8</v>
      </c>
      <c r="D32" s="68">
        <f>SUM(D33:D36)</f>
        <v>8.5</v>
      </c>
      <c r="E32" s="63"/>
      <c r="F32" s="60"/>
      <c r="G32" s="61"/>
      <c r="H32" s="62"/>
      <c r="I32" s="63"/>
      <c r="J32" s="60"/>
      <c r="K32" s="61"/>
      <c r="L32" s="62"/>
      <c r="M32" s="63"/>
      <c r="N32" s="60"/>
      <c r="O32" s="61"/>
      <c r="P32" s="62"/>
      <c r="Q32" s="173"/>
      <c r="R32" s="175"/>
      <c r="S32" s="174"/>
      <c r="T32" s="62"/>
      <c r="U32" s="63"/>
      <c r="V32" s="60"/>
      <c r="W32" s="61"/>
      <c r="X32" s="62"/>
      <c r="Y32" s="61"/>
      <c r="Z32" s="60"/>
      <c r="AA32" s="61"/>
      <c r="AB32" s="62"/>
      <c r="AC32" s="63"/>
      <c r="AD32" s="60"/>
      <c r="AE32" s="61"/>
      <c r="AF32" s="71"/>
      <c r="AG32" s="59"/>
      <c r="AH32" s="59"/>
      <c r="AI32" s="59"/>
      <c r="AJ32" s="71"/>
      <c r="AK32" s="212"/>
      <c r="AL32" s="61"/>
      <c r="AM32" s="61"/>
      <c r="AN32" s="116"/>
      <c r="AO32" s="63"/>
      <c r="AP32" s="61"/>
      <c r="AQ32" s="61"/>
      <c r="AR32" s="116"/>
    </row>
    <row r="33" spans="1:44" s="2" customFormat="1" ht="35.1" customHeight="1" thickBot="1" x14ac:dyDescent="0.3">
      <c r="A33" s="27" t="s">
        <v>47</v>
      </c>
      <c r="B33" s="100">
        <v>1</v>
      </c>
      <c r="C33" s="66">
        <v>2</v>
      </c>
      <c r="D33" s="66">
        <f>SUM(E33:AR33)</f>
        <v>1.75</v>
      </c>
      <c r="E33" s="42"/>
      <c r="F33" s="3"/>
      <c r="G33" s="39"/>
      <c r="H33" s="29"/>
      <c r="I33" s="42"/>
      <c r="J33" s="3"/>
      <c r="K33" s="39"/>
      <c r="L33" s="29"/>
      <c r="M33" s="42"/>
      <c r="N33" s="3"/>
      <c r="O33" s="39"/>
      <c r="P33" s="29"/>
      <c r="Q33" s="166"/>
      <c r="R33" s="176"/>
      <c r="S33" s="167"/>
      <c r="T33" s="29"/>
      <c r="U33" s="42"/>
      <c r="V33" s="3"/>
      <c r="W33" s="39"/>
      <c r="X33" s="29"/>
      <c r="Y33" s="39"/>
      <c r="Z33" s="3"/>
      <c r="AA33" s="39"/>
      <c r="AB33" s="29"/>
      <c r="AC33" s="42"/>
      <c r="AD33" s="3"/>
      <c r="AE33" s="39"/>
      <c r="AF33" s="140">
        <v>1.25</v>
      </c>
      <c r="AG33" s="65">
        <v>0.5</v>
      </c>
      <c r="AH33" s="3"/>
      <c r="AI33" s="39"/>
      <c r="AJ33" s="53"/>
      <c r="AK33" s="42"/>
      <c r="AL33" s="3"/>
      <c r="AM33" s="39"/>
      <c r="AN33" s="53"/>
      <c r="AO33" s="51"/>
      <c r="AP33" s="52"/>
      <c r="AQ33" s="52"/>
      <c r="AR33" s="53"/>
    </row>
    <row r="34" spans="1:44" s="2" customFormat="1" ht="35.1" customHeight="1" thickBot="1" x14ac:dyDescent="0.3">
      <c r="A34" s="27" t="s">
        <v>48</v>
      </c>
      <c r="B34" s="100">
        <v>1</v>
      </c>
      <c r="C34" s="66">
        <v>3</v>
      </c>
      <c r="D34" s="66">
        <f>SUM(E34:AR34)</f>
        <v>3</v>
      </c>
      <c r="E34" s="42"/>
      <c r="F34" s="3"/>
      <c r="G34" s="39"/>
      <c r="H34" s="29"/>
      <c r="I34" s="42"/>
      <c r="J34" s="3"/>
      <c r="K34" s="39"/>
      <c r="L34" s="29"/>
      <c r="M34" s="42"/>
      <c r="N34" s="3"/>
      <c r="O34" s="39"/>
      <c r="P34" s="29"/>
      <c r="Q34" s="127"/>
      <c r="R34" s="127"/>
      <c r="S34" s="127"/>
      <c r="T34" s="29"/>
      <c r="U34" s="42"/>
      <c r="V34" s="3"/>
      <c r="W34" s="39"/>
      <c r="X34" s="29"/>
      <c r="Y34" s="39"/>
      <c r="Z34" s="3"/>
      <c r="AA34" s="39"/>
      <c r="AB34" s="29"/>
      <c r="AC34" s="42"/>
      <c r="AD34" s="3"/>
      <c r="AE34" s="39"/>
      <c r="AF34" s="140">
        <v>0.25</v>
      </c>
      <c r="AG34" s="65">
        <v>1.25</v>
      </c>
      <c r="AH34" s="141">
        <v>1.5</v>
      </c>
      <c r="AI34" s="39"/>
      <c r="AJ34" s="43"/>
      <c r="AK34" s="42"/>
      <c r="AL34" s="3"/>
      <c r="AM34" s="39"/>
      <c r="AN34" s="43"/>
      <c r="AO34" s="42"/>
      <c r="AP34" s="39"/>
      <c r="AQ34" s="39"/>
      <c r="AR34" s="53"/>
    </row>
    <row r="35" spans="1:44" ht="35.1" customHeight="1" thickBot="1" x14ac:dyDescent="0.3">
      <c r="A35" s="27" t="s">
        <v>54</v>
      </c>
      <c r="B35" s="100">
        <v>1</v>
      </c>
      <c r="C35" s="66">
        <v>2</v>
      </c>
      <c r="D35" s="66">
        <f>SUM(E35:AR35)</f>
        <v>1.75</v>
      </c>
      <c r="E35" s="42"/>
      <c r="F35" s="3"/>
      <c r="G35" s="39"/>
      <c r="H35" s="29"/>
      <c r="I35" s="42"/>
      <c r="J35" s="3"/>
      <c r="K35" s="39"/>
      <c r="L35" s="29"/>
      <c r="M35" s="42"/>
      <c r="N35" s="3"/>
      <c r="O35" s="39"/>
      <c r="P35" s="29"/>
      <c r="Q35" s="127"/>
      <c r="R35" s="127"/>
      <c r="S35" s="127"/>
      <c r="T35" s="29"/>
      <c r="U35" s="42"/>
      <c r="V35" s="3"/>
      <c r="W35" s="39"/>
      <c r="X35" s="29"/>
      <c r="Y35" s="39"/>
      <c r="Z35" s="3"/>
      <c r="AA35" s="39"/>
      <c r="AB35" s="29"/>
      <c r="AC35" s="42"/>
      <c r="AD35" s="3"/>
      <c r="AE35" s="39"/>
      <c r="AF35" s="29"/>
      <c r="AG35" s="42"/>
      <c r="AH35" s="3"/>
      <c r="AI35" s="38">
        <v>1.75</v>
      </c>
      <c r="AJ35" s="56"/>
      <c r="AK35" s="42"/>
      <c r="AL35" s="3"/>
      <c r="AM35" s="39"/>
      <c r="AN35" s="56"/>
      <c r="AO35" s="57"/>
      <c r="AP35" s="55"/>
      <c r="AQ35" s="55"/>
      <c r="AR35" s="53"/>
    </row>
    <row r="36" spans="1:44" ht="35.1" customHeight="1" x14ac:dyDescent="0.25">
      <c r="A36" s="136" t="s">
        <v>63</v>
      </c>
      <c r="B36" s="137">
        <v>1</v>
      </c>
      <c r="C36" s="67">
        <v>1</v>
      </c>
      <c r="D36" s="67">
        <f>SUM(E36:AR36)</f>
        <v>2</v>
      </c>
      <c r="E36" s="48"/>
      <c r="F36" s="138"/>
      <c r="G36" s="46"/>
      <c r="H36" s="139"/>
      <c r="I36" s="48"/>
      <c r="J36" s="138"/>
      <c r="K36" s="46"/>
      <c r="L36" s="139"/>
      <c r="M36" s="48"/>
      <c r="N36" s="138"/>
      <c r="O36" s="46"/>
      <c r="P36" s="139"/>
      <c r="Q36" s="177"/>
      <c r="R36" s="169"/>
      <c r="S36" s="169"/>
      <c r="T36" s="139"/>
      <c r="U36" s="48"/>
      <c r="V36" s="138"/>
      <c r="W36" s="46"/>
      <c r="X36" s="139"/>
      <c r="Y36" s="46"/>
      <c r="Z36" s="138"/>
      <c r="AA36" s="46"/>
      <c r="AB36" s="139"/>
      <c r="AC36" s="48"/>
      <c r="AD36" s="138"/>
      <c r="AE36" s="46"/>
      <c r="AF36" s="139"/>
      <c r="AG36" s="48"/>
      <c r="AH36" s="138"/>
      <c r="AI36" s="46"/>
      <c r="AJ36" s="179">
        <v>1</v>
      </c>
      <c r="AK36" s="213">
        <v>1</v>
      </c>
      <c r="AL36" s="138"/>
      <c r="AM36" s="46"/>
      <c r="AN36" s="139"/>
      <c r="AO36" s="48"/>
      <c r="AP36" s="138"/>
      <c r="AQ36" s="46"/>
      <c r="AR36" s="47"/>
    </row>
  </sheetData>
  <mergeCells count="25">
    <mergeCell ref="C2:C3"/>
    <mergeCell ref="D2:D3"/>
    <mergeCell ref="E2:E3"/>
    <mergeCell ref="F2:F3"/>
    <mergeCell ref="G2:G3"/>
    <mergeCell ref="U5:X5"/>
    <mergeCell ref="I4:L4"/>
    <mergeCell ref="E4:H4"/>
    <mergeCell ref="U4:X4"/>
    <mergeCell ref="Q4:T4"/>
    <mergeCell ref="E5:H5"/>
    <mergeCell ref="I5:L5"/>
    <mergeCell ref="M5:P5"/>
    <mergeCell ref="M4:P4"/>
    <mergeCell ref="Q5:T5"/>
    <mergeCell ref="AO5:AR5"/>
    <mergeCell ref="Y5:AB5"/>
    <mergeCell ref="AC5:AF5"/>
    <mergeCell ref="AG5:AJ5"/>
    <mergeCell ref="AK5:AN5"/>
    <mergeCell ref="AO4:AR4"/>
    <mergeCell ref="Y4:AB4"/>
    <mergeCell ref="AC4:AF4"/>
    <mergeCell ref="AG4:AJ4"/>
    <mergeCell ref="AK4:AN4"/>
  </mergeCells>
  <phoneticPr fontId="27" type="noConversion"/>
  <conditionalFormatting sqref="B7:B33">
    <cfRule type="dataBar" priority="7">
      <dataBar>
        <cfvo type="num" val="0"/>
        <cfvo type="num" val="1"/>
        <color theme="0" tint="-0.249977111117893"/>
      </dataBar>
      <extLst>
        <ext xmlns:x14="http://schemas.microsoft.com/office/spreadsheetml/2009/9/main" uri="{B025F937-C7B1-47D3-B67F-A62EFF666E3E}">
          <x14:id>{5FE511E3-5754-4E41-929C-857FE28C8D4D}</x14:id>
        </ext>
      </extLst>
    </cfRule>
  </conditionalFormatting>
  <conditionalFormatting sqref="E6">
    <cfRule type="colorScale" priority="5">
      <colorScale>
        <cfvo type="min"/>
        <cfvo type="percentile" val="50"/>
        <cfvo type="max"/>
        <color rgb="FF00B050"/>
        <color rgb="FFFFEB84"/>
        <color rgb="FFFFFF00"/>
      </colorScale>
    </cfRule>
    <cfRule type="colorScale" priority="6">
      <colorScale>
        <cfvo type="min"/>
        <cfvo type="max"/>
        <color rgb="FFFFEF9C"/>
        <color rgb="FF63BE7B"/>
      </colorScale>
    </cfRule>
  </conditionalFormatting>
  <conditionalFormatting sqref="E6:G6 X6 AR6">
    <cfRule type="expression" dxfId="3" priority="9">
      <formula>AND(TODAY()&gt;=#REF!,TODAY()&lt;#REF!)</formula>
    </cfRule>
  </conditionalFormatting>
  <conditionalFormatting sqref="H6:W6 Y6:AQ6">
    <cfRule type="expression" dxfId="2" priority="8">
      <formula>AND(TODAY()&gt;=I$1,TODAY()&lt;#REF!)</formula>
    </cfRule>
  </conditionalFormatting>
  <conditionalFormatting sqref="AC28:AE28">
    <cfRule type="dataBar" priority="4">
      <dataBar>
        <cfvo type="num" val="0"/>
        <cfvo type="num" val="1"/>
        <color theme="0" tint="-0.249977111117893"/>
      </dataBar>
      <extLst>
        <ext xmlns:x14="http://schemas.microsoft.com/office/spreadsheetml/2009/9/main" uri="{B025F937-C7B1-47D3-B67F-A62EFF666E3E}">
          <x14:id>{C0E48BB8-2A86-4F13-B336-C09523968CBF}</x14:id>
        </ext>
      </extLst>
    </cfRule>
  </conditionalFormatting>
  <conditionalFormatting sqref="B34">
    <cfRule type="dataBar" priority="3">
      <dataBar>
        <cfvo type="num" val="0"/>
        <cfvo type="num" val="1"/>
        <color theme="0" tint="-0.249977111117893"/>
      </dataBar>
      <extLst>
        <ext xmlns:x14="http://schemas.microsoft.com/office/spreadsheetml/2009/9/main" uri="{B025F937-C7B1-47D3-B67F-A62EFF666E3E}">
          <x14:id>{D5C75C67-6C88-491C-B255-907173A9792B}</x14:id>
        </ext>
      </extLst>
    </cfRule>
  </conditionalFormatting>
  <conditionalFormatting sqref="B35">
    <cfRule type="dataBar" priority="2">
      <dataBar>
        <cfvo type="num" val="0"/>
        <cfvo type="num" val="1"/>
        <color theme="0" tint="-0.249977111117893"/>
      </dataBar>
      <extLst>
        <ext xmlns:x14="http://schemas.microsoft.com/office/spreadsheetml/2009/9/main" uri="{B025F937-C7B1-47D3-B67F-A62EFF666E3E}">
          <x14:id>{DF9AEAF9-5555-4950-A8BD-E137EA1150E4}</x14:id>
        </ext>
      </extLst>
    </cfRule>
  </conditionalFormatting>
  <conditionalFormatting sqref="B36">
    <cfRule type="dataBar" priority="1">
      <dataBar>
        <cfvo type="num" val="0"/>
        <cfvo type="num" val="1"/>
        <color theme="0" tint="-0.249977111117893"/>
      </dataBar>
      <extLst>
        <ext xmlns:x14="http://schemas.microsoft.com/office/spreadsheetml/2009/9/main" uri="{B025F937-C7B1-47D3-B67F-A62EFF666E3E}">
          <x14:id>{77AC5022-7354-4802-8590-76EB1B29A382}</x14:id>
        </ext>
      </extLst>
    </cfRule>
  </conditionalFormatting>
  <dataValidations count="1">
    <dataValidation type="whole" operator="greaterThanOrEqual" allowBlank="1" showInputMessage="1" promptTitle="Woche anzeigen" prompt="Das Ändern dieser Zahl bewirkt ein Scrollen in der Gantt-Diagrammansicht." sqref="D2:F2" xr:uid="{45A6E35F-E165-438C-BB41-C985F19DC992}">
      <formula1>1</formula1>
    </dataValidation>
  </dataValidations>
  <printOptions horizontalCentered="1"/>
  <pageMargins left="0.35" right="0.35" top="0.35" bottom="0.5" header="0.3" footer="0.3"/>
  <pageSetup paperSize="9" scale="6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5FE511E3-5754-4E41-929C-857FE28C8D4D}">
            <x14:dataBar minLength="0" maxLength="100" gradient="0">
              <x14:cfvo type="num">
                <xm:f>0</xm:f>
              </x14:cfvo>
              <x14:cfvo type="num">
                <xm:f>1</xm:f>
              </x14:cfvo>
              <x14:negativeFillColor rgb="FFFF0000"/>
              <x14:axisColor rgb="FF000000"/>
            </x14:dataBar>
          </x14:cfRule>
          <xm:sqref>B7:B33</xm:sqref>
        </x14:conditionalFormatting>
        <x14:conditionalFormatting xmlns:xm="http://schemas.microsoft.com/office/excel/2006/main">
          <x14:cfRule type="dataBar" id="{C0E48BB8-2A86-4F13-B336-C09523968CBF}">
            <x14:dataBar minLength="0" maxLength="100" gradient="0">
              <x14:cfvo type="num">
                <xm:f>0</xm:f>
              </x14:cfvo>
              <x14:cfvo type="num">
                <xm:f>1</xm:f>
              </x14:cfvo>
              <x14:negativeFillColor rgb="FFFF0000"/>
              <x14:axisColor rgb="FF000000"/>
            </x14:dataBar>
          </x14:cfRule>
          <xm:sqref>AC28:AE28</xm:sqref>
        </x14:conditionalFormatting>
        <x14:conditionalFormatting xmlns:xm="http://schemas.microsoft.com/office/excel/2006/main">
          <x14:cfRule type="dataBar" id="{D5C75C67-6C88-491C-B255-907173A9792B}">
            <x14:dataBar minLength="0" maxLength="100" gradient="0">
              <x14:cfvo type="num">
                <xm:f>0</xm:f>
              </x14:cfvo>
              <x14:cfvo type="num">
                <xm:f>1</xm:f>
              </x14:cfvo>
              <x14:negativeFillColor rgb="FFFF0000"/>
              <x14:axisColor rgb="FF000000"/>
            </x14:dataBar>
          </x14:cfRule>
          <xm:sqref>B34</xm:sqref>
        </x14:conditionalFormatting>
        <x14:conditionalFormatting xmlns:xm="http://schemas.microsoft.com/office/excel/2006/main">
          <x14:cfRule type="dataBar" id="{DF9AEAF9-5555-4950-A8BD-E137EA1150E4}">
            <x14:dataBar minLength="0" maxLength="100" gradient="0">
              <x14:cfvo type="num">
                <xm:f>0</xm:f>
              </x14:cfvo>
              <x14:cfvo type="num">
                <xm:f>1</xm:f>
              </x14:cfvo>
              <x14:negativeFillColor rgb="FFFF0000"/>
              <x14:axisColor rgb="FF000000"/>
            </x14:dataBar>
          </x14:cfRule>
          <xm:sqref>B35</xm:sqref>
        </x14:conditionalFormatting>
        <x14:conditionalFormatting xmlns:xm="http://schemas.microsoft.com/office/excel/2006/main">
          <x14:cfRule type="dataBar" id="{77AC5022-7354-4802-8590-76EB1B29A382}">
            <x14:dataBar minLength="0" maxLength="100" gradient="0">
              <x14:cfvo type="num">
                <xm:f>0</xm:f>
              </x14:cfvo>
              <x14:cfvo type="num">
                <xm:f>1</xm:f>
              </x14:cfvo>
              <x14:negativeFillColor rgb="FFFF0000"/>
              <x14:axisColor rgb="FF000000"/>
            </x14:dataBar>
          </x14:cfRule>
          <xm:sqref>B36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909FF-ECD9-424D-94FC-D75424C77729}">
  <dimension ref="A1:F9"/>
  <sheetViews>
    <sheetView zoomScale="130" zoomScaleNormal="130" workbookViewId="0">
      <selection activeCell="E12" sqref="E12"/>
    </sheetView>
  </sheetViews>
  <sheetFormatPr defaultRowHeight="15" x14ac:dyDescent="0.25"/>
  <cols>
    <col min="1" max="1" width="23" customWidth="1"/>
    <col min="2" max="2" width="13.28515625" customWidth="1"/>
    <col min="3" max="3" width="10.140625" customWidth="1"/>
    <col min="4" max="4" width="10.5703125" customWidth="1"/>
    <col min="5" max="5" width="94.7109375" customWidth="1"/>
  </cols>
  <sheetData>
    <row r="1" spans="1:6" ht="26.25" thickBot="1" x14ac:dyDescent="0.3">
      <c r="A1" s="214" t="s">
        <v>17</v>
      </c>
      <c r="B1" s="206" t="s">
        <v>26</v>
      </c>
      <c r="C1" s="215" t="s">
        <v>55</v>
      </c>
      <c r="D1" s="215" t="s">
        <v>96</v>
      </c>
      <c r="E1" s="215" t="s">
        <v>65</v>
      </c>
    </row>
    <row r="2" spans="1:6" ht="15.75" thickBot="1" x14ac:dyDescent="0.3">
      <c r="A2" s="192" t="s">
        <v>27</v>
      </c>
      <c r="B2" s="186" t="s">
        <v>66</v>
      </c>
      <c r="C2" s="186" t="s">
        <v>67</v>
      </c>
      <c r="D2" s="186" t="s">
        <v>68</v>
      </c>
      <c r="E2" s="200" t="s">
        <v>69</v>
      </c>
      <c r="F2" s="183"/>
    </row>
    <row r="3" spans="1:6" ht="15.75" thickBot="1" x14ac:dyDescent="0.3">
      <c r="A3" s="191" t="s">
        <v>28</v>
      </c>
      <c r="B3" s="194" t="s">
        <v>70</v>
      </c>
      <c r="C3" s="194" t="s">
        <v>71</v>
      </c>
      <c r="D3" s="194" t="s">
        <v>72</v>
      </c>
      <c r="E3" s="198" t="s">
        <v>73</v>
      </c>
      <c r="F3" s="183"/>
    </row>
    <row r="4" spans="1:6" ht="15.75" thickBot="1" x14ac:dyDescent="0.3">
      <c r="A4" s="178" t="s">
        <v>32</v>
      </c>
      <c r="B4" s="184" t="s">
        <v>74</v>
      </c>
      <c r="C4" s="184" t="s">
        <v>75</v>
      </c>
      <c r="D4" s="184" t="s">
        <v>76</v>
      </c>
      <c r="E4" s="197" t="s">
        <v>77</v>
      </c>
      <c r="F4" s="183"/>
    </row>
    <row r="5" spans="1:6" ht="15.75" thickBot="1" x14ac:dyDescent="0.3">
      <c r="A5" s="190" t="s">
        <v>35</v>
      </c>
      <c r="B5" s="189" t="s">
        <v>78</v>
      </c>
      <c r="C5" s="189" t="s">
        <v>79</v>
      </c>
      <c r="D5" s="189" t="s">
        <v>80</v>
      </c>
      <c r="E5" s="196" t="s">
        <v>81</v>
      </c>
      <c r="F5" s="183"/>
    </row>
    <row r="6" spans="1:6" ht="15.75" thickBot="1" x14ac:dyDescent="0.3">
      <c r="A6" s="182" t="s">
        <v>37</v>
      </c>
      <c r="B6" s="188" t="s">
        <v>82</v>
      </c>
      <c r="C6" s="188" t="s">
        <v>83</v>
      </c>
      <c r="D6" s="188" t="s">
        <v>84</v>
      </c>
      <c r="E6" s="195" t="s">
        <v>98</v>
      </c>
      <c r="F6" s="183"/>
    </row>
    <row r="7" spans="1:6" ht="15.75" thickBot="1" x14ac:dyDescent="0.3">
      <c r="A7" s="181" t="s">
        <v>44</v>
      </c>
      <c r="B7" s="187" t="s">
        <v>85</v>
      </c>
      <c r="C7" s="187" t="s">
        <v>86</v>
      </c>
      <c r="D7" s="187" t="s">
        <v>87</v>
      </c>
      <c r="E7" s="203" t="s">
        <v>88</v>
      </c>
      <c r="F7" s="183"/>
    </row>
    <row r="8" spans="1:6" ht="15.75" thickBot="1" x14ac:dyDescent="0.3">
      <c r="A8" s="180" t="s">
        <v>46</v>
      </c>
      <c r="B8" s="193" t="s">
        <v>89</v>
      </c>
      <c r="C8" s="193" t="s">
        <v>90</v>
      </c>
      <c r="D8" s="193" t="s">
        <v>72</v>
      </c>
      <c r="E8" s="201" t="s">
        <v>91</v>
      </c>
      <c r="F8" s="183"/>
    </row>
    <row r="9" spans="1:6" ht="15.75" thickBot="1" x14ac:dyDescent="0.3">
      <c r="A9" s="185" t="s">
        <v>92</v>
      </c>
      <c r="B9" s="202" t="s">
        <v>93</v>
      </c>
      <c r="C9" s="202" t="s">
        <v>94</v>
      </c>
      <c r="D9" s="202" t="s">
        <v>95</v>
      </c>
      <c r="E9" s="199" t="s">
        <v>97</v>
      </c>
      <c r="F9" s="18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05E98-C819-4422-9BF6-5D4DAEFCDA5A}">
  <sheetPr>
    <pageSetUpPr fitToPage="1"/>
  </sheetPr>
  <dimension ref="A1:BJ59"/>
  <sheetViews>
    <sheetView showGridLines="0" showRuler="0" zoomScale="85" zoomScaleNormal="85" zoomScalePageLayoutView="70" workbookViewId="0">
      <pane ySplit="6" topLeftCell="A53" activePane="bottomLeft" state="frozen"/>
      <selection pane="bottomLeft" activeCell="L2" sqref="L2"/>
    </sheetView>
  </sheetViews>
  <sheetFormatPr defaultColWidth="9.140625" defaultRowHeight="30" customHeight="1" x14ac:dyDescent="0.25"/>
  <cols>
    <col min="1" max="1" width="44" customWidth="1"/>
    <col min="2" max="2" width="11.7109375" customWidth="1"/>
    <col min="3" max="4" width="14.7109375" customWidth="1"/>
    <col min="5" max="44" width="11.7109375" customWidth="1"/>
  </cols>
  <sheetData>
    <row r="1" spans="1:62" ht="24.75" customHeight="1" x14ac:dyDescent="0.45">
      <c r="A1" s="16" t="s">
        <v>56</v>
      </c>
      <c r="B1" s="1"/>
      <c r="C1" s="205"/>
      <c r="D1" s="204"/>
      <c r="I1" s="102"/>
    </row>
    <row r="2" spans="1:62" ht="20.100000000000001" customHeight="1" x14ac:dyDescent="0.3">
      <c r="A2" s="17" t="s">
        <v>15</v>
      </c>
      <c r="C2" s="204"/>
      <c r="D2" s="149" t="s">
        <v>23</v>
      </c>
      <c r="E2" s="151" t="s">
        <v>24</v>
      </c>
      <c r="F2" s="158" t="s">
        <v>25</v>
      </c>
      <c r="G2" s="154" t="s">
        <v>60</v>
      </c>
      <c r="H2" s="156" t="s">
        <v>59</v>
      </c>
    </row>
    <row r="3" spans="1:62" ht="20.100000000000001" customHeight="1" x14ac:dyDescent="0.25">
      <c r="A3" s="18" t="s">
        <v>16</v>
      </c>
      <c r="C3" s="204"/>
      <c r="D3" s="150"/>
      <c r="E3" s="152"/>
      <c r="F3" s="159"/>
      <c r="G3" s="155"/>
      <c r="H3" s="157"/>
    </row>
    <row r="4" spans="1:62" ht="20.100000000000001" customHeight="1" x14ac:dyDescent="0.25">
      <c r="A4" s="37">
        <v>46069</v>
      </c>
      <c r="C4" s="204"/>
      <c r="D4" s="204"/>
      <c r="E4" s="143" t="str">
        <f>"Mon, Hours: " &amp; SUM(E7:H58)</f>
        <v>Mon, Hours: 12</v>
      </c>
      <c r="F4" s="144"/>
      <c r="G4" s="144"/>
      <c r="H4" s="145"/>
      <c r="I4" s="143" t="str">
        <f>"Tue, Hours: " &amp; SUM(I7:L58)</f>
        <v>Tue, Hours: 12.5</v>
      </c>
      <c r="J4" s="144"/>
      <c r="K4" s="144"/>
      <c r="L4" s="145"/>
      <c r="M4" s="143" t="str">
        <f>"Wed, Hours: " &amp; SUM(M7:P58)</f>
        <v>Wed, Hours: 13.5</v>
      </c>
      <c r="N4" s="144"/>
      <c r="O4" s="144"/>
      <c r="P4" s="145"/>
      <c r="Q4" s="143" t="str">
        <f>"Thu, Hours: " &amp; SUM(Q7:T58)</f>
        <v>Thu, Hours: 7</v>
      </c>
      <c r="R4" s="144"/>
      <c r="S4" s="144"/>
      <c r="T4" s="145"/>
      <c r="U4" s="143" t="str">
        <f>"Fri, Hours: " &amp; SUM(U7:X58)</f>
        <v>Fri, Hours: 13.25</v>
      </c>
      <c r="V4" s="144"/>
      <c r="W4" s="144"/>
      <c r="X4" s="145"/>
      <c r="Y4" s="143" t="str">
        <f>"Mon, Hours: " &amp; SUM(Y7:AB58)</f>
        <v>Mon, Hours: 12.25</v>
      </c>
      <c r="Z4" s="144"/>
      <c r="AA4" s="144"/>
      <c r="AB4" s="145"/>
      <c r="AC4" s="143" t="str">
        <f>"Tue, Hours: " &amp; SUM(AC7:AF58)</f>
        <v>Tue, Hours: 12.5</v>
      </c>
      <c r="AD4" s="144"/>
      <c r="AE4" s="144"/>
      <c r="AF4" s="145"/>
      <c r="AG4" s="143" t="str">
        <f>"Wed, Hours: " &amp; SUM(AG7:AJ58)</f>
        <v>Wed, Hours: 11.75</v>
      </c>
      <c r="AH4" s="144"/>
      <c r="AI4" s="144"/>
      <c r="AJ4" s="145"/>
      <c r="AK4" s="143" t="str">
        <f>"Thur, Hours: " &amp; SUM(AK7:AN58)</f>
        <v>Thur, Hours: 6.25</v>
      </c>
      <c r="AL4" s="144"/>
      <c r="AM4" s="144"/>
      <c r="AN4" s="145"/>
      <c r="AO4" s="143" t="str">
        <f>"Fri, Hours: " &amp; SUM(AO7:AR58)</f>
        <v>Fri, Hours: 6.75</v>
      </c>
      <c r="AP4" s="144"/>
      <c r="AQ4" s="144"/>
      <c r="AR4" s="145"/>
    </row>
    <row r="5" spans="1:62" ht="20.100000000000001" customHeight="1" x14ac:dyDescent="0.25">
      <c r="B5" s="28"/>
      <c r="C5" s="204"/>
      <c r="D5" s="204"/>
      <c r="E5" s="146">
        <v>46069</v>
      </c>
      <c r="F5" s="147"/>
      <c r="G5" s="147"/>
      <c r="H5" s="148"/>
      <c r="I5" s="146">
        <v>46070</v>
      </c>
      <c r="J5" s="147"/>
      <c r="K5" s="147"/>
      <c r="L5" s="148"/>
      <c r="M5" s="146">
        <v>46071</v>
      </c>
      <c r="N5" s="147"/>
      <c r="O5" s="147"/>
      <c r="P5" s="148"/>
      <c r="Q5" s="146">
        <v>46072</v>
      </c>
      <c r="R5" s="147"/>
      <c r="S5" s="147"/>
      <c r="T5" s="148"/>
      <c r="U5" s="146">
        <v>46073</v>
      </c>
      <c r="V5" s="147"/>
      <c r="W5" s="147"/>
      <c r="X5" s="148"/>
      <c r="Y5" s="146">
        <v>46076</v>
      </c>
      <c r="Z5" s="147"/>
      <c r="AA5" s="147"/>
      <c r="AB5" s="148"/>
      <c r="AC5" s="146">
        <v>46077</v>
      </c>
      <c r="AD5" s="147"/>
      <c r="AE5" s="147"/>
      <c r="AF5" s="148"/>
      <c r="AG5" s="146">
        <v>46078</v>
      </c>
      <c r="AH5" s="147"/>
      <c r="AI5" s="147"/>
      <c r="AJ5" s="148"/>
      <c r="AK5" s="146">
        <v>46079</v>
      </c>
      <c r="AL5" s="147"/>
      <c r="AM5" s="147"/>
      <c r="AN5" s="148"/>
      <c r="AO5" s="146">
        <v>46080</v>
      </c>
      <c r="AP5" s="147"/>
      <c r="AQ5" s="147"/>
      <c r="AR5" s="153"/>
    </row>
    <row r="6" spans="1:62" s="26" customFormat="1" ht="33" customHeight="1" x14ac:dyDescent="0.2">
      <c r="A6" s="108" t="s">
        <v>17</v>
      </c>
      <c r="B6" s="109" t="s">
        <v>18</v>
      </c>
      <c r="C6" s="206" t="s">
        <v>26</v>
      </c>
      <c r="D6" s="215" t="s">
        <v>55</v>
      </c>
      <c r="E6" s="110" t="s">
        <v>19</v>
      </c>
      <c r="F6" s="110" t="s">
        <v>20</v>
      </c>
      <c r="G6" s="110" t="s">
        <v>21</v>
      </c>
      <c r="H6" s="110" t="s">
        <v>22</v>
      </c>
      <c r="I6" s="110" t="s">
        <v>19</v>
      </c>
      <c r="J6" s="110" t="s">
        <v>20</v>
      </c>
      <c r="K6" s="110" t="s">
        <v>21</v>
      </c>
      <c r="L6" s="110" t="s">
        <v>22</v>
      </c>
      <c r="M6" s="110" t="s">
        <v>19</v>
      </c>
      <c r="N6" s="110" t="s">
        <v>20</v>
      </c>
      <c r="O6" s="110" t="s">
        <v>21</v>
      </c>
      <c r="P6" s="110" t="s">
        <v>22</v>
      </c>
      <c r="Q6" s="110" t="s">
        <v>19</v>
      </c>
      <c r="R6" s="110" t="s">
        <v>20</v>
      </c>
      <c r="S6" s="110" t="s">
        <v>21</v>
      </c>
      <c r="T6" s="110" t="s">
        <v>22</v>
      </c>
      <c r="U6" s="110" t="s">
        <v>19</v>
      </c>
      <c r="V6" s="110" t="s">
        <v>20</v>
      </c>
      <c r="W6" s="110" t="s">
        <v>21</v>
      </c>
      <c r="X6" s="110" t="s">
        <v>22</v>
      </c>
      <c r="Y6" s="110" t="s">
        <v>19</v>
      </c>
      <c r="Z6" s="110" t="s">
        <v>20</v>
      </c>
      <c r="AA6" s="110" t="s">
        <v>21</v>
      </c>
      <c r="AB6" s="110" t="s">
        <v>22</v>
      </c>
      <c r="AC6" s="110" t="s">
        <v>19</v>
      </c>
      <c r="AD6" s="110" t="s">
        <v>20</v>
      </c>
      <c r="AE6" s="110" t="s">
        <v>21</v>
      </c>
      <c r="AF6" s="110" t="s">
        <v>22</v>
      </c>
      <c r="AG6" s="110" t="s">
        <v>19</v>
      </c>
      <c r="AH6" s="110" t="s">
        <v>20</v>
      </c>
      <c r="AI6" s="110" t="s">
        <v>21</v>
      </c>
      <c r="AJ6" s="110" t="s">
        <v>22</v>
      </c>
      <c r="AK6" s="110" t="s">
        <v>19</v>
      </c>
      <c r="AL6" s="110" t="s">
        <v>20</v>
      </c>
      <c r="AM6" s="110" t="s">
        <v>21</v>
      </c>
      <c r="AN6" s="110" t="s">
        <v>22</v>
      </c>
      <c r="AO6" s="110" t="s">
        <v>19</v>
      </c>
      <c r="AP6" s="110" t="s">
        <v>20</v>
      </c>
      <c r="AQ6" s="110" t="s">
        <v>21</v>
      </c>
      <c r="AR6" s="112" t="s">
        <v>22</v>
      </c>
    </row>
    <row r="7" spans="1:62" ht="35.1" customHeight="1" thickBot="1" x14ac:dyDescent="0.3">
      <c r="A7" s="103" t="s">
        <v>27</v>
      </c>
      <c r="B7" s="104">
        <v>0.8</v>
      </c>
      <c r="C7" s="211">
        <v>15</v>
      </c>
      <c r="D7" s="209">
        <v>20</v>
      </c>
      <c r="E7" s="105">
        <v>0.5</v>
      </c>
      <c r="F7" s="106"/>
      <c r="G7" s="106">
        <v>0.5</v>
      </c>
      <c r="H7" s="107">
        <v>1.25</v>
      </c>
      <c r="I7" s="106">
        <v>0.25</v>
      </c>
      <c r="J7" s="106">
        <v>1</v>
      </c>
      <c r="K7" s="106">
        <v>1.5</v>
      </c>
      <c r="L7" s="122">
        <v>0.75</v>
      </c>
      <c r="M7" s="123">
        <v>0.5</v>
      </c>
      <c r="N7" s="106">
        <v>1.5</v>
      </c>
      <c r="O7" s="106">
        <v>0.25</v>
      </c>
      <c r="P7" s="107">
        <v>0.5</v>
      </c>
      <c r="Q7" s="127"/>
      <c r="R7" s="127"/>
      <c r="S7" s="127"/>
      <c r="T7" s="107">
        <v>0.5</v>
      </c>
      <c r="U7" s="106"/>
      <c r="V7" s="106"/>
      <c r="W7" s="106">
        <v>1.75</v>
      </c>
      <c r="X7" s="128">
        <v>1</v>
      </c>
      <c r="Y7" s="105">
        <v>0.5</v>
      </c>
      <c r="Z7" s="106">
        <v>1.5</v>
      </c>
      <c r="AA7" s="106">
        <v>2</v>
      </c>
      <c r="AB7" s="106">
        <v>1.5</v>
      </c>
      <c r="AC7" s="106">
        <v>0.5</v>
      </c>
      <c r="AD7" s="106"/>
      <c r="AE7" s="106">
        <v>0.25</v>
      </c>
      <c r="AF7" s="106">
        <v>0.25</v>
      </c>
      <c r="AG7" s="106"/>
      <c r="AH7" s="106">
        <v>0.5</v>
      </c>
      <c r="AI7" s="106">
        <v>1.25</v>
      </c>
      <c r="AJ7" s="106"/>
      <c r="AK7" s="106"/>
      <c r="AL7" s="106"/>
      <c r="AM7" s="106"/>
      <c r="AN7" s="106"/>
      <c r="AO7" s="106"/>
      <c r="AP7" s="106"/>
      <c r="AQ7" s="106"/>
      <c r="AR7" s="128"/>
    </row>
    <row r="8" spans="1:62" s="2" customFormat="1" ht="35.1" customHeight="1" thickBot="1" x14ac:dyDescent="0.3">
      <c r="A8" s="4" t="s">
        <v>28</v>
      </c>
      <c r="B8" s="85">
        <f>SUMPRODUCT(B9:B13, D9:D13) / SUM( D9:D13)</f>
        <v>0.4642857142857143</v>
      </c>
      <c r="C8" s="207">
        <v>4.75</v>
      </c>
      <c r="D8" s="207">
        <v>3.25</v>
      </c>
      <c r="E8" s="40"/>
      <c r="F8" s="40"/>
      <c r="G8" s="40"/>
      <c r="H8" s="41"/>
      <c r="I8" s="40"/>
      <c r="J8" s="40"/>
      <c r="K8" s="39"/>
      <c r="L8" s="43"/>
      <c r="M8" s="42"/>
      <c r="N8" s="39"/>
      <c r="O8" s="39"/>
      <c r="P8" s="43"/>
      <c r="Q8" s="127"/>
      <c r="R8" s="127"/>
      <c r="S8" s="127"/>
      <c r="T8" s="44"/>
      <c r="U8" s="42"/>
      <c r="V8" s="39"/>
      <c r="W8" s="39"/>
      <c r="X8" s="43"/>
      <c r="Y8" s="39"/>
      <c r="Z8" s="45"/>
      <c r="AA8" s="39"/>
      <c r="AB8" s="43"/>
      <c r="AC8" s="42"/>
      <c r="AD8" s="39"/>
      <c r="AE8" s="39"/>
      <c r="AF8" s="43"/>
      <c r="AG8" s="42"/>
      <c r="AH8" s="39"/>
      <c r="AI8" s="39"/>
      <c r="AJ8" s="43"/>
      <c r="AK8" s="42"/>
      <c r="AL8" s="39"/>
      <c r="AM8" s="39"/>
      <c r="AN8" s="44"/>
      <c r="AO8" s="42"/>
      <c r="AP8" s="39"/>
      <c r="AQ8" s="39"/>
      <c r="AR8" s="43"/>
    </row>
    <row r="9" spans="1:62" s="2" customFormat="1" ht="35.1" customHeight="1" thickBot="1" x14ac:dyDescent="0.3">
      <c r="A9" s="19" t="s">
        <v>29</v>
      </c>
      <c r="B9" s="86">
        <v>1</v>
      </c>
      <c r="C9" s="207">
        <v>2</v>
      </c>
      <c r="D9" s="207">
        <v>1.5</v>
      </c>
      <c r="E9" s="65">
        <v>0.75</v>
      </c>
      <c r="F9" s="39"/>
      <c r="G9" s="38">
        <v>0.75</v>
      </c>
      <c r="H9" s="43"/>
      <c r="I9" s="42"/>
      <c r="J9" s="39"/>
      <c r="K9" s="39"/>
      <c r="L9" s="43"/>
      <c r="M9" s="42"/>
      <c r="N9" s="39"/>
      <c r="O9" s="39"/>
      <c r="P9" s="43"/>
      <c r="Q9" s="127"/>
      <c r="R9" s="127"/>
      <c r="S9" s="127"/>
      <c r="T9" s="43"/>
      <c r="U9" s="42"/>
      <c r="V9" s="39"/>
      <c r="W9" s="39"/>
      <c r="X9" s="43"/>
      <c r="Y9" s="39"/>
      <c r="Z9" s="39"/>
      <c r="AA9" s="39"/>
      <c r="AB9" s="43"/>
      <c r="AC9" s="42"/>
      <c r="AD9" s="39"/>
      <c r="AE9" s="39"/>
      <c r="AF9" s="43"/>
      <c r="AG9" s="42"/>
      <c r="AH9" s="39"/>
      <c r="AI9" s="39"/>
      <c r="AJ9" s="43"/>
      <c r="AK9" s="42"/>
      <c r="AL9" s="39"/>
      <c r="AM9" s="39"/>
      <c r="AN9" s="43"/>
      <c r="AO9" s="42"/>
      <c r="AP9" s="39"/>
      <c r="AQ9" s="39"/>
      <c r="AR9" s="43"/>
    </row>
    <row r="10" spans="1:62" s="2" customFormat="1" ht="35.1" customHeight="1" thickBot="1" x14ac:dyDescent="0.3">
      <c r="A10" s="19" t="s">
        <v>29</v>
      </c>
      <c r="B10" s="142" t="s">
        <v>25</v>
      </c>
      <c r="C10" s="207">
        <v>2</v>
      </c>
      <c r="D10" s="207">
        <v>2</v>
      </c>
      <c r="E10" s="73">
        <v>0.75</v>
      </c>
      <c r="F10" s="73">
        <v>0.75</v>
      </c>
      <c r="G10" s="73">
        <v>0.5</v>
      </c>
      <c r="H10" s="43"/>
      <c r="I10" s="42"/>
      <c r="J10" s="39"/>
      <c r="K10" s="39"/>
      <c r="L10" s="43"/>
      <c r="M10" s="42"/>
      <c r="N10" s="39"/>
      <c r="O10" s="39"/>
      <c r="P10" s="43"/>
      <c r="Q10" s="127"/>
      <c r="R10" s="127"/>
      <c r="S10" s="127"/>
      <c r="T10" s="43"/>
      <c r="U10" s="42"/>
      <c r="V10" s="39"/>
      <c r="W10" s="39"/>
      <c r="X10" s="43"/>
      <c r="Y10" s="39"/>
      <c r="Z10" s="39"/>
      <c r="AA10" s="39"/>
      <c r="AB10" s="43"/>
      <c r="AC10" s="42"/>
      <c r="AD10" s="39"/>
      <c r="AE10" s="39"/>
      <c r="AF10" s="43"/>
      <c r="AG10" s="42"/>
      <c r="AH10" s="39"/>
      <c r="AI10" s="39"/>
      <c r="AJ10" s="43"/>
      <c r="AK10" s="42"/>
      <c r="AL10" s="39"/>
      <c r="AM10" s="39"/>
      <c r="AN10" s="43"/>
      <c r="AO10" s="42"/>
      <c r="AP10" s="39"/>
      <c r="AQ10" s="39"/>
      <c r="AR10" s="43"/>
    </row>
    <row r="11" spans="1:62" s="32" customFormat="1" ht="35.1" customHeight="1" thickBot="1" x14ac:dyDescent="0.3">
      <c r="A11" s="19" t="s">
        <v>30</v>
      </c>
      <c r="B11" s="86">
        <v>1</v>
      </c>
      <c r="C11" s="207">
        <v>1.75</v>
      </c>
      <c r="D11" s="207">
        <v>1.25</v>
      </c>
      <c r="E11" s="42"/>
      <c r="F11" s="39"/>
      <c r="G11" s="39"/>
      <c r="H11" s="72">
        <v>0.75</v>
      </c>
      <c r="I11" s="65">
        <v>0.5</v>
      </c>
      <c r="J11" s="39"/>
      <c r="K11" s="39"/>
      <c r="L11" s="43"/>
      <c r="M11" s="42"/>
      <c r="N11" s="39"/>
      <c r="O11" s="39"/>
      <c r="P11" s="43"/>
      <c r="Q11" s="127"/>
      <c r="R11" s="127"/>
      <c r="S11" s="127"/>
      <c r="T11" s="43"/>
      <c r="U11" s="42"/>
      <c r="V11" s="39"/>
      <c r="W11" s="39"/>
      <c r="X11" s="43"/>
      <c r="Y11" s="39"/>
      <c r="Z11" s="39"/>
      <c r="AA11" s="39"/>
      <c r="AB11" s="43"/>
      <c r="AC11" s="42"/>
      <c r="AD11" s="39"/>
      <c r="AE11" s="39"/>
      <c r="AF11" s="43"/>
      <c r="AG11" s="42"/>
      <c r="AH11" s="39"/>
      <c r="AI11" s="39"/>
      <c r="AJ11" s="43"/>
      <c r="AK11" s="42"/>
      <c r="AL11" s="39"/>
      <c r="AM11" s="39"/>
      <c r="AN11" s="43"/>
      <c r="AO11" s="42"/>
      <c r="AP11" s="39"/>
      <c r="AQ11" s="39"/>
      <c r="AR11" s="43"/>
      <c r="AS11" s="2"/>
      <c r="AT11" s="2"/>
      <c r="AU11" s="2"/>
      <c r="AV11" s="2"/>
      <c r="AW11" s="2"/>
      <c r="AX11" s="2"/>
      <c r="AY11" s="2"/>
      <c r="AZ11" s="2"/>
      <c r="BA11" s="2"/>
      <c r="BB11" s="2"/>
      <c r="BC11" s="2"/>
      <c r="BD11" s="2"/>
      <c r="BE11" s="2"/>
      <c r="BF11" s="2"/>
      <c r="BG11" s="2"/>
      <c r="BH11" s="2"/>
      <c r="BI11" s="2"/>
      <c r="BJ11" s="2"/>
    </row>
    <row r="12" spans="1:62" s="2" customFormat="1" ht="35.1" customHeight="1" thickBot="1" x14ac:dyDescent="0.3">
      <c r="A12" s="19" t="s">
        <v>30</v>
      </c>
      <c r="B12" s="142" t="s">
        <v>25</v>
      </c>
      <c r="C12" s="207">
        <v>1.75</v>
      </c>
      <c r="D12" s="207">
        <v>1.75</v>
      </c>
      <c r="E12" s="42"/>
      <c r="G12" s="39"/>
      <c r="H12" s="125">
        <v>0.75</v>
      </c>
      <c r="I12" s="126">
        <v>1</v>
      </c>
      <c r="J12" s="39"/>
      <c r="K12" s="39"/>
      <c r="L12" s="43"/>
      <c r="M12" s="42"/>
      <c r="N12" s="39"/>
      <c r="O12" s="39"/>
      <c r="P12" s="43"/>
      <c r="Q12" s="127"/>
      <c r="R12" s="127"/>
      <c r="S12" s="127"/>
      <c r="T12" s="43"/>
      <c r="U12" s="42"/>
      <c r="V12" s="39"/>
      <c r="W12" s="39"/>
      <c r="X12" s="43"/>
      <c r="Y12" s="39"/>
      <c r="Z12" s="39"/>
      <c r="AA12" s="39"/>
      <c r="AB12" s="43"/>
      <c r="AC12" s="42"/>
      <c r="AD12" s="39"/>
      <c r="AE12" s="39"/>
      <c r="AF12" s="43"/>
      <c r="AG12" s="42"/>
      <c r="AH12" s="39"/>
      <c r="AI12" s="39"/>
      <c r="AJ12" s="43"/>
      <c r="AK12" s="42"/>
      <c r="AL12" s="39"/>
      <c r="AM12" s="39"/>
      <c r="AN12" s="43"/>
      <c r="AO12" s="42"/>
      <c r="AP12" s="39"/>
      <c r="AQ12" s="39"/>
      <c r="AR12" s="43"/>
    </row>
    <row r="13" spans="1:62" s="2" customFormat="1" ht="35.1" customHeight="1" thickBot="1" x14ac:dyDescent="0.3">
      <c r="A13" s="31" t="s">
        <v>31</v>
      </c>
      <c r="B13" s="87">
        <v>1</v>
      </c>
      <c r="C13" s="208">
        <v>1</v>
      </c>
      <c r="D13" s="208">
        <v>0.5</v>
      </c>
      <c r="E13" s="48"/>
      <c r="F13" s="46"/>
      <c r="G13" s="46"/>
      <c r="H13" s="47"/>
      <c r="I13" s="84">
        <v>0.5</v>
      </c>
      <c r="J13" s="46"/>
      <c r="K13" s="46"/>
      <c r="L13" s="47"/>
      <c r="M13" s="48"/>
      <c r="N13" s="46"/>
      <c r="O13" s="46"/>
      <c r="P13" s="47"/>
      <c r="Q13" s="127"/>
      <c r="R13" s="127"/>
      <c r="S13" s="127"/>
      <c r="T13" s="47"/>
      <c r="U13" s="48"/>
      <c r="V13" s="46"/>
      <c r="W13" s="46"/>
      <c r="X13" s="47"/>
      <c r="Y13" s="46"/>
      <c r="Z13" s="46"/>
      <c r="AA13" s="46"/>
      <c r="AB13" s="47"/>
      <c r="AC13" s="48"/>
      <c r="AD13" s="46"/>
      <c r="AE13" s="46"/>
      <c r="AF13" s="47"/>
      <c r="AG13" s="48"/>
      <c r="AH13" s="46"/>
      <c r="AI13" s="46"/>
      <c r="AJ13" s="47"/>
      <c r="AK13" s="48"/>
      <c r="AL13" s="46"/>
      <c r="AM13" s="46"/>
      <c r="AN13" s="47"/>
      <c r="AO13" s="48"/>
      <c r="AP13" s="46"/>
      <c r="AQ13" s="46"/>
      <c r="AR13" s="47"/>
    </row>
    <row r="14" spans="1:62" s="2" customFormat="1" ht="35.1" customHeight="1" thickBot="1" x14ac:dyDescent="0.3">
      <c r="A14" s="31" t="s">
        <v>31</v>
      </c>
      <c r="B14" s="142" t="s">
        <v>25</v>
      </c>
      <c r="C14" s="208">
        <v>1</v>
      </c>
      <c r="D14" s="208">
        <v>1</v>
      </c>
      <c r="E14" s="48"/>
      <c r="F14" s="46"/>
      <c r="G14" s="46"/>
      <c r="H14" s="47"/>
      <c r="I14" s="76">
        <v>1</v>
      </c>
      <c r="J14" s="32"/>
      <c r="K14" s="46"/>
      <c r="L14" s="47"/>
      <c r="M14" s="48"/>
      <c r="N14" s="46"/>
      <c r="O14" s="46"/>
      <c r="P14" s="47"/>
      <c r="Q14" s="127"/>
      <c r="R14" s="127"/>
      <c r="S14" s="127"/>
      <c r="T14" s="47"/>
      <c r="U14" s="48"/>
      <c r="V14" s="46"/>
      <c r="W14" s="46"/>
      <c r="X14" s="47"/>
      <c r="Y14" s="46"/>
      <c r="Z14" s="46"/>
      <c r="AA14" s="46"/>
      <c r="AB14" s="47"/>
      <c r="AC14" s="48"/>
      <c r="AD14" s="46"/>
      <c r="AE14" s="46"/>
      <c r="AF14" s="47"/>
      <c r="AG14" s="48"/>
      <c r="AH14" s="46"/>
      <c r="AI14" s="46"/>
      <c r="AJ14" s="47"/>
      <c r="AK14" s="48"/>
      <c r="AL14" s="46"/>
      <c r="AM14" s="46"/>
      <c r="AN14" s="47"/>
      <c r="AO14" s="48"/>
      <c r="AP14" s="46"/>
      <c r="AQ14" s="46"/>
      <c r="AR14" s="47"/>
    </row>
    <row r="15" spans="1:62" s="2" customFormat="1" ht="35.1" customHeight="1" thickBot="1" x14ac:dyDescent="0.3">
      <c r="A15" s="30" t="s">
        <v>32</v>
      </c>
      <c r="B15" s="88">
        <f>SUMPRODUCT(B16:B22, C16:C22) / SUM(C16:C22)</f>
        <v>0.5641025641025641</v>
      </c>
      <c r="C15" s="209">
        <v>11</v>
      </c>
      <c r="D15" s="209">
        <v>7.5</v>
      </c>
      <c r="E15" s="49"/>
      <c r="F15" s="49"/>
      <c r="G15" s="49"/>
      <c r="H15" s="50"/>
      <c r="I15" s="49"/>
      <c r="J15" s="49"/>
      <c r="K15" s="49"/>
      <c r="L15" s="50"/>
      <c r="M15" s="49"/>
      <c r="N15" s="49"/>
      <c r="O15" s="52"/>
      <c r="P15" s="53"/>
      <c r="Q15" s="127"/>
      <c r="R15" s="127"/>
      <c r="S15" s="127"/>
      <c r="T15" s="53"/>
      <c r="U15" s="51"/>
      <c r="V15" s="52"/>
      <c r="W15" s="52"/>
      <c r="X15" s="53"/>
      <c r="Y15" s="52"/>
      <c r="Z15" s="52"/>
      <c r="AA15" s="52"/>
      <c r="AB15" s="53"/>
      <c r="AC15" s="51"/>
      <c r="AD15" s="52"/>
      <c r="AE15" s="52"/>
      <c r="AF15" s="53"/>
      <c r="AG15" s="51"/>
      <c r="AH15" s="52"/>
      <c r="AI15" s="52"/>
      <c r="AJ15" s="53"/>
      <c r="AK15" s="51"/>
      <c r="AL15" s="52"/>
      <c r="AM15" s="52"/>
      <c r="AN15" s="53"/>
      <c r="AO15" s="51"/>
      <c r="AP15" s="52"/>
      <c r="AQ15" s="52"/>
      <c r="AR15" s="116"/>
    </row>
    <row r="16" spans="1:62" s="2" customFormat="1" ht="35.1" customHeight="1" thickBot="1" x14ac:dyDescent="0.3">
      <c r="A16" s="20" t="s">
        <v>33</v>
      </c>
      <c r="B16" s="89">
        <v>1</v>
      </c>
      <c r="C16" s="207">
        <v>2</v>
      </c>
      <c r="D16" s="207">
        <v>3</v>
      </c>
      <c r="E16" s="65">
        <v>0.25</v>
      </c>
      <c r="F16" s="38">
        <v>2</v>
      </c>
      <c r="G16" s="38">
        <v>0.5</v>
      </c>
      <c r="H16" s="43"/>
      <c r="I16" s="42"/>
      <c r="J16" s="38">
        <v>0.25</v>
      </c>
      <c r="L16" s="43"/>
      <c r="M16" s="42"/>
      <c r="N16" s="39"/>
      <c r="O16" s="39"/>
      <c r="P16" s="43"/>
      <c r="Q16" s="127"/>
      <c r="R16" s="127"/>
      <c r="S16" s="127"/>
      <c r="T16" s="43"/>
      <c r="U16" s="42"/>
      <c r="V16" s="39"/>
      <c r="W16" s="39"/>
      <c r="X16" s="43"/>
      <c r="Y16" s="39"/>
      <c r="Z16" s="39"/>
      <c r="AA16" s="39"/>
      <c r="AB16" s="43"/>
      <c r="AC16" s="42"/>
      <c r="AD16" s="39"/>
      <c r="AE16" s="39"/>
      <c r="AF16" s="43"/>
      <c r="AG16" s="42"/>
      <c r="AH16" s="39"/>
      <c r="AI16" s="39"/>
      <c r="AJ16" s="43"/>
      <c r="AK16" s="42"/>
      <c r="AL16" s="39"/>
      <c r="AM16" s="39"/>
      <c r="AN16" s="43"/>
      <c r="AO16" s="42"/>
      <c r="AP16" s="39"/>
      <c r="AQ16" s="39"/>
      <c r="AR16" s="43"/>
    </row>
    <row r="17" spans="1:62" s="2" customFormat="1" ht="34.5" customHeight="1" thickBot="1" x14ac:dyDescent="0.3">
      <c r="A17" s="20" t="s">
        <v>33</v>
      </c>
      <c r="B17" s="142" t="s">
        <v>25</v>
      </c>
      <c r="C17" s="207">
        <v>2</v>
      </c>
      <c r="D17" s="207">
        <v>2</v>
      </c>
      <c r="E17" s="73">
        <v>0.5</v>
      </c>
      <c r="F17" s="73">
        <v>1</v>
      </c>
      <c r="G17" s="73">
        <v>0.5</v>
      </c>
      <c r="H17" s="43"/>
      <c r="I17" s="42"/>
      <c r="J17" s="39"/>
      <c r="K17" s="39"/>
      <c r="L17" s="43"/>
      <c r="M17" s="42"/>
      <c r="N17" s="39"/>
      <c r="O17" s="39"/>
      <c r="P17" s="43"/>
      <c r="Q17" s="127"/>
      <c r="R17" s="127"/>
      <c r="S17" s="127"/>
      <c r="T17" s="43"/>
      <c r="U17" s="42"/>
      <c r="V17" s="39"/>
      <c r="W17" s="39"/>
      <c r="X17" s="43"/>
      <c r="Y17" s="39"/>
      <c r="Z17" s="39"/>
      <c r="AA17" s="39"/>
      <c r="AB17" s="43"/>
      <c r="AC17" s="42"/>
      <c r="AD17" s="39"/>
      <c r="AE17" s="39"/>
      <c r="AF17" s="43"/>
      <c r="AG17" s="42"/>
      <c r="AH17" s="39"/>
      <c r="AI17" s="39"/>
      <c r="AJ17" s="43"/>
      <c r="AK17" s="42"/>
      <c r="AL17" s="39"/>
      <c r="AM17" s="39"/>
      <c r="AN17" s="43"/>
      <c r="AO17" s="42"/>
      <c r="AP17" s="39"/>
      <c r="AQ17" s="39"/>
      <c r="AR17" s="43"/>
    </row>
    <row r="18" spans="1:62" s="2" customFormat="1" ht="35.1" customHeight="1" thickBot="1" x14ac:dyDescent="0.3">
      <c r="A18" s="20" t="s">
        <v>58</v>
      </c>
      <c r="B18" s="89">
        <v>1</v>
      </c>
      <c r="C18" s="207">
        <v>4</v>
      </c>
      <c r="D18" s="207">
        <v>1.25</v>
      </c>
      <c r="E18" s="42"/>
      <c r="F18" s="39"/>
      <c r="G18" s="39"/>
      <c r="H18" s="43"/>
      <c r="I18" s="65">
        <v>0.5</v>
      </c>
      <c r="J18" s="65">
        <v>0.75</v>
      </c>
      <c r="K18" s="39"/>
      <c r="L18" s="43"/>
      <c r="M18" s="42"/>
      <c r="N18" s="39"/>
      <c r="O18" s="39"/>
      <c r="P18" s="43"/>
      <c r="Q18" s="127"/>
      <c r="R18" s="127"/>
      <c r="S18" s="127"/>
      <c r="T18" s="43"/>
      <c r="U18" s="42"/>
      <c r="V18" s="39"/>
      <c r="W18" s="39"/>
      <c r="X18" s="43"/>
      <c r="Y18" s="39"/>
      <c r="Z18" s="39"/>
      <c r="AA18" s="39"/>
      <c r="AB18" s="43"/>
      <c r="AC18" s="42"/>
      <c r="AD18" s="39"/>
      <c r="AE18" s="39"/>
      <c r="AF18" s="43"/>
      <c r="AG18" s="42"/>
      <c r="AH18" s="39"/>
      <c r="AI18" s="39"/>
      <c r="AJ18" s="43"/>
      <c r="AK18" s="42"/>
      <c r="AL18" s="39"/>
      <c r="AM18" s="39"/>
      <c r="AN18" s="43"/>
      <c r="AO18" s="42"/>
      <c r="AP18" s="39"/>
      <c r="AQ18" s="39"/>
      <c r="AR18" s="43"/>
    </row>
    <row r="19" spans="1:62" s="2" customFormat="1" ht="35.1" customHeight="1" thickBot="1" x14ac:dyDescent="0.3">
      <c r="A19" s="20" t="s">
        <v>58</v>
      </c>
      <c r="B19" s="142" t="s">
        <v>25</v>
      </c>
      <c r="C19" s="207">
        <v>4</v>
      </c>
      <c r="D19" s="207">
        <v>4</v>
      </c>
      <c r="E19" s="42"/>
      <c r="F19" s="39"/>
      <c r="G19" s="39"/>
      <c r="H19" s="43"/>
      <c r="I19" s="42"/>
      <c r="J19" s="73">
        <v>0.75</v>
      </c>
      <c r="K19" s="73">
        <v>1.25</v>
      </c>
      <c r="L19" s="73">
        <v>1</v>
      </c>
      <c r="M19" s="73">
        <v>1</v>
      </c>
      <c r="N19" s="39"/>
      <c r="O19" s="39"/>
      <c r="P19" s="43"/>
      <c r="Q19" s="127"/>
      <c r="R19" s="127"/>
      <c r="S19" s="127"/>
      <c r="T19" s="43"/>
      <c r="U19" s="42"/>
      <c r="V19" s="39"/>
      <c r="W19" s="39"/>
      <c r="X19" s="43"/>
      <c r="Y19" s="39"/>
      <c r="Z19" s="39"/>
      <c r="AA19" s="39"/>
      <c r="AB19" s="43"/>
      <c r="AC19" s="42"/>
      <c r="AD19" s="39"/>
      <c r="AE19" s="39"/>
      <c r="AF19" s="43"/>
      <c r="AG19" s="42"/>
      <c r="AH19" s="39"/>
      <c r="AI19" s="39"/>
      <c r="AJ19" s="43"/>
      <c r="AK19" s="42"/>
      <c r="AL19" s="39"/>
      <c r="AM19" s="39"/>
      <c r="AN19" s="43"/>
      <c r="AO19" s="42"/>
      <c r="AP19" s="39"/>
      <c r="AQ19" s="39"/>
      <c r="AR19" s="43"/>
    </row>
    <row r="20" spans="1:62" s="2" customFormat="1" ht="35.1" customHeight="1" thickBot="1" x14ac:dyDescent="0.3">
      <c r="A20" s="20" t="s">
        <v>34</v>
      </c>
      <c r="B20" s="89">
        <v>1</v>
      </c>
      <c r="C20" s="207">
        <v>2.5</v>
      </c>
      <c r="D20" s="207">
        <v>2</v>
      </c>
      <c r="E20" s="42"/>
      <c r="F20" s="39"/>
      <c r="G20" s="39"/>
      <c r="H20" s="43"/>
      <c r="I20" s="42"/>
      <c r="J20" s="39"/>
      <c r="K20" s="38">
        <v>0.5</v>
      </c>
      <c r="L20" s="101">
        <v>1</v>
      </c>
      <c r="M20" s="42"/>
      <c r="N20" s="38">
        <v>0.5</v>
      </c>
      <c r="O20" s="39"/>
      <c r="P20" s="43"/>
      <c r="Q20" s="127"/>
      <c r="R20" s="127"/>
      <c r="S20" s="127"/>
      <c r="T20" s="43"/>
      <c r="U20" s="42"/>
      <c r="V20" s="39"/>
      <c r="W20" s="39"/>
      <c r="X20" s="43"/>
      <c r="Y20" s="39"/>
      <c r="Z20" s="39"/>
      <c r="AA20" s="39"/>
      <c r="AB20" s="43"/>
      <c r="AC20" s="42"/>
      <c r="AD20" s="39"/>
      <c r="AE20" s="39"/>
      <c r="AF20" s="43"/>
      <c r="AG20" s="42"/>
      <c r="AH20" s="39"/>
      <c r="AI20" s="39"/>
      <c r="AJ20" s="43"/>
      <c r="AK20" s="42"/>
      <c r="AL20" s="39"/>
      <c r="AM20" s="39"/>
      <c r="AN20" s="43"/>
      <c r="AO20" s="42"/>
      <c r="AP20" s="39"/>
      <c r="AQ20" s="39"/>
      <c r="AR20" s="43"/>
    </row>
    <row r="21" spans="1:62" s="2" customFormat="1" ht="35.1" customHeight="1" thickBot="1" x14ac:dyDescent="0.3">
      <c r="A21" s="20" t="s">
        <v>34</v>
      </c>
      <c r="B21" s="142" t="s">
        <v>25</v>
      </c>
      <c r="C21" s="207">
        <v>2.5</v>
      </c>
      <c r="D21" s="207">
        <v>2.5</v>
      </c>
      <c r="E21" s="42"/>
      <c r="F21" s="39"/>
      <c r="G21" s="39"/>
      <c r="H21" s="43"/>
      <c r="I21" s="42"/>
      <c r="J21" s="39"/>
      <c r="K21" s="39"/>
      <c r="L21" s="43"/>
      <c r="M21" s="73">
        <v>0.75</v>
      </c>
      <c r="N21" s="74">
        <v>1.75</v>
      </c>
      <c r="O21" s="39"/>
      <c r="P21" s="43"/>
      <c r="Q21" s="127"/>
      <c r="R21" s="127"/>
      <c r="S21" s="127"/>
      <c r="T21" s="43"/>
      <c r="U21" s="42"/>
      <c r="V21" s="39"/>
      <c r="W21" s="39"/>
      <c r="X21" s="43"/>
      <c r="Y21" s="39"/>
      <c r="Z21" s="39"/>
      <c r="AA21" s="39"/>
      <c r="AB21" s="43"/>
      <c r="AC21" s="42"/>
      <c r="AD21" s="39"/>
      <c r="AE21" s="39"/>
      <c r="AF21" s="43"/>
      <c r="AG21" s="42"/>
      <c r="AH21" s="39"/>
      <c r="AI21" s="39"/>
      <c r="AJ21" s="43"/>
      <c r="AK21" s="42"/>
      <c r="AL21" s="39"/>
      <c r="AM21" s="39"/>
      <c r="AN21" s="43"/>
      <c r="AO21" s="42"/>
      <c r="AP21" s="39"/>
      <c r="AQ21" s="39"/>
      <c r="AR21" s="43"/>
    </row>
    <row r="22" spans="1:62" s="2" customFormat="1" ht="35.1" customHeight="1" thickBot="1" x14ac:dyDescent="0.3">
      <c r="A22" s="35" t="s">
        <v>57</v>
      </c>
      <c r="B22" s="90">
        <v>1</v>
      </c>
      <c r="C22" s="208">
        <v>2.5</v>
      </c>
      <c r="D22" s="208">
        <v>1.25</v>
      </c>
      <c r="E22" s="48"/>
      <c r="F22" s="46"/>
      <c r="G22" s="46"/>
      <c r="H22" s="47"/>
      <c r="I22" s="48"/>
      <c r="J22" s="46"/>
      <c r="K22" s="46"/>
      <c r="L22" s="47"/>
      <c r="M22" s="84">
        <v>1.25</v>
      </c>
      <c r="N22" s="46"/>
      <c r="O22" s="46"/>
      <c r="P22" s="47"/>
      <c r="Q22" s="127"/>
      <c r="R22" s="127"/>
      <c r="S22" s="127"/>
      <c r="T22" s="47"/>
      <c r="U22" s="48"/>
      <c r="V22" s="46"/>
      <c r="W22" s="46"/>
      <c r="X22" s="47"/>
      <c r="Y22" s="46"/>
      <c r="Z22" s="46"/>
      <c r="AA22" s="46"/>
      <c r="AB22" s="47"/>
      <c r="AC22" s="48"/>
      <c r="AD22" s="46"/>
      <c r="AE22" s="46"/>
      <c r="AF22" s="47"/>
      <c r="AG22" s="48"/>
      <c r="AH22" s="46"/>
      <c r="AI22" s="46"/>
      <c r="AJ22" s="47"/>
      <c r="AK22" s="48"/>
      <c r="AL22" s="46"/>
      <c r="AM22" s="46"/>
      <c r="AN22" s="47"/>
      <c r="AO22" s="48"/>
      <c r="AP22" s="46"/>
      <c r="AQ22" s="46"/>
      <c r="AR22" s="47"/>
    </row>
    <row r="23" spans="1:62" s="2" customFormat="1" ht="35.1" customHeight="1" thickBot="1" x14ac:dyDescent="0.3">
      <c r="A23" s="35" t="s">
        <v>57</v>
      </c>
      <c r="B23" s="142" t="s">
        <v>25</v>
      </c>
      <c r="C23" s="208">
        <v>2.5</v>
      </c>
      <c r="D23" s="208">
        <v>2.5</v>
      </c>
      <c r="E23" s="48"/>
      <c r="F23" s="46"/>
      <c r="G23" s="46"/>
      <c r="H23" s="47"/>
      <c r="I23" s="48"/>
      <c r="J23" s="46"/>
      <c r="K23" s="46"/>
      <c r="L23" s="47"/>
      <c r="M23" s="48"/>
      <c r="N23" s="46"/>
      <c r="O23" s="76">
        <v>1</v>
      </c>
      <c r="P23" s="75">
        <v>1.5</v>
      </c>
      <c r="Q23" s="127"/>
      <c r="R23" s="127"/>
      <c r="S23" s="127"/>
      <c r="T23" s="47"/>
      <c r="U23" s="48"/>
      <c r="V23" s="46"/>
      <c r="W23" s="46"/>
      <c r="X23" s="47"/>
      <c r="Y23" s="46"/>
      <c r="Z23" s="46"/>
      <c r="AA23" s="46"/>
      <c r="AB23" s="47"/>
      <c r="AC23" s="48"/>
      <c r="AD23" s="46"/>
      <c r="AE23" s="46"/>
      <c r="AF23" s="47"/>
      <c r="AG23" s="48"/>
      <c r="AH23" s="46"/>
      <c r="AI23" s="46"/>
      <c r="AJ23" s="47"/>
      <c r="AK23" s="48"/>
      <c r="AL23" s="46"/>
      <c r="AM23" s="46"/>
      <c r="AN23" s="47"/>
      <c r="AO23" s="48"/>
      <c r="AP23" s="46"/>
      <c r="AQ23" s="46"/>
      <c r="AR23" s="47"/>
    </row>
    <row r="24" spans="1:62" s="2" customFormat="1" ht="35.1" customHeight="1" thickBot="1" x14ac:dyDescent="0.3">
      <c r="A24" s="33" t="s">
        <v>35</v>
      </c>
      <c r="B24" s="91">
        <f>SUMPRODUCT(B26:B26, C26:C26) / SUM( C26:C26)</f>
        <v>0</v>
      </c>
      <c r="C24" s="209">
        <v>1</v>
      </c>
      <c r="D24" s="209">
        <v>0.5</v>
      </c>
      <c r="E24" s="51"/>
      <c r="F24" s="52"/>
      <c r="G24" s="52"/>
      <c r="H24" s="53"/>
      <c r="I24" s="51"/>
      <c r="J24" s="52"/>
      <c r="K24" s="52"/>
      <c r="L24" s="53"/>
      <c r="M24" s="51"/>
      <c r="N24" s="52"/>
      <c r="O24" s="34"/>
      <c r="P24" s="53"/>
      <c r="Q24" s="127"/>
      <c r="R24" s="127"/>
      <c r="S24" s="127"/>
      <c r="T24" s="53"/>
      <c r="U24" s="51"/>
      <c r="V24" s="52"/>
      <c r="W24" s="52"/>
      <c r="X24" s="53"/>
      <c r="Y24" s="52"/>
      <c r="Z24" s="52"/>
      <c r="AA24" s="52"/>
      <c r="AB24" s="53"/>
      <c r="AC24" s="51"/>
      <c r="AD24" s="52"/>
      <c r="AE24" s="52"/>
      <c r="AF24" s="53"/>
      <c r="AG24" s="51"/>
      <c r="AH24" s="52"/>
      <c r="AI24" s="52"/>
      <c r="AJ24" s="53"/>
      <c r="AK24" s="51"/>
      <c r="AL24" s="52"/>
      <c r="AM24" s="52"/>
      <c r="AN24" s="53"/>
      <c r="AO24" s="51"/>
      <c r="AP24" s="52"/>
      <c r="AQ24" s="52"/>
      <c r="AR24" s="53"/>
    </row>
    <row r="25" spans="1:62" s="2" customFormat="1" ht="35.1" customHeight="1" thickBot="1" x14ac:dyDescent="0.3">
      <c r="A25" s="113" t="s">
        <v>36</v>
      </c>
      <c r="B25" s="92">
        <v>1</v>
      </c>
      <c r="C25" s="210">
        <v>1</v>
      </c>
      <c r="D25" s="210">
        <v>0.5</v>
      </c>
      <c r="E25" s="57"/>
      <c r="F25" s="55"/>
      <c r="G25" s="55"/>
      <c r="H25" s="56"/>
      <c r="I25" s="57"/>
      <c r="J25" s="55"/>
      <c r="K25" s="55"/>
      <c r="L25" s="56"/>
      <c r="M25" s="57"/>
      <c r="N25" s="55"/>
      <c r="O25" s="114">
        <v>0.5</v>
      </c>
      <c r="P25" s="56"/>
      <c r="Q25" s="127"/>
      <c r="R25" s="127"/>
      <c r="S25" s="127"/>
      <c r="T25" s="56"/>
      <c r="U25" s="57"/>
      <c r="V25" s="55"/>
      <c r="W25" s="55"/>
      <c r="X25" s="56"/>
      <c r="Y25" s="55"/>
      <c r="Z25" s="55"/>
      <c r="AA25" s="55"/>
      <c r="AB25" s="56"/>
      <c r="AC25" s="57"/>
      <c r="AD25" s="55"/>
      <c r="AE25" s="55"/>
      <c r="AF25" s="56"/>
      <c r="AG25" s="57"/>
      <c r="AH25" s="55"/>
      <c r="AI25" s="55"/>
      <c r="AJ25" s="56"/>
      <c r="AK25" s="57"/>
      <c r="AL25" s="55"/>
      <c r="AM25" s="55"/>
      <c r="AN25" s="56"/>
      <c r="AO25" s="57"/>
      <c r="AP25" s="55"/>
      <c r="AQ25" s="55"/>
      <c r="AR25" s="56"/>
    </row>
    <row r="26" spans="1:62" s="2" customFormat="1" ht="35.1" customHeight="1" thickBot="1" x14ac:dyDescent="0.3">
      <c r="A26" s="21" t="s">
        <v>36</v>
      </c>
      <c r="B26" s="142" t="s">
        <v>25</v>
      </c>
      <c r="C26" s="210">
        <v>1</v>
      </c>
      <c r="D26" s="210">
        <v>1</v>
      </c>
      <c r="E26" s="42"/>
      <c r="F26" s="39"/>
      <c r="G26" s="39"/>
      <c r="H26" s="43"/>
      <c r="I26" s="42"/>
      <c r="J26" s="39"/>
      <c r="K26" s="39"/>
      <c r="L26" s="43"/>
      <c r="M26" s="42"/>
      <c r="N26" s="39"/>
      <c r="O26" s="39"/>
      <c r="P26" s="43"/>
      <c r="Q26" s="73">
        <v>1</v>
      </c>
      <c r="R26" s="52"/>
      <c r="S26" s="39"/>
      <c r="T26" s="43"/>
      <c r="U26" s="42"/>
      <c r="V26" s="39"/>
      <c r="W26" s="39"/>
      <c r="X26" s="43"/>
      <c r="Y26" s="39"/>
      <c r="Z26" s="39"/>
      <c r="AA26" s="39"/>
      <c r="AB26" s="43"/>
      <c r="AC26" s="42"/>
      <c r="AD26" s="39"/>
      <c r="AE26" s="39"/>
      <c r="AF26" s="43"/>
      <c r="AG26" s="42"/>
      <c r="AH26" s="39"/>
      <c r="AI26" s="39"/>
      <c r="AJ26" s="43"/>
      <c r="AK26" s="42"/>
      <c r="AL26" s="39"/>
      <c r="AM26" s="39"/>
      <c r="AN26" s="43"/>
      <c r="AO26" s="42"/>
      <c r="AP26" s="39"/>
      <c r="AQ26" s="39"/>
      <c r="AR26" s="43"/>
    </row>
    <row r="27" spans="1:62" s="32" customFormat="1" ht="35.1" customHeight="1" thickBot="1" x14ac:dyDescent="0.3">
      <c r="A27" s="115" t="s">
        <v>37</v>
      </c>
      <c r="B27" s="93">
        <f>SUMPRODUCT(B28:B42, C28:C42) / SUM(C28:C42)</f>
        <v>0.53658536585365857</v>
      </c>
      <c r="C27" s="211">
        <v>22</v>
      </c>
      <c r="D27" s="211">
        <v>10.75</v>
      </c>
      <c r="E27" s="63"/>
      <c r="F27" s="61"/>
      <c r="G27" s="61"/>
      <c r="H27" s="116"/>
      <c r="I27" s="63"/>
      <c r="J27" s="61"/>
      <c r="K27" s="61"/>
      <c r="L27" s="116"/>
      <c r="M27" s="63"/>
      <c r="N27" s="117"/>
      <c r="O27" s="119"/>
      <c r="P27" s="118"/>
      <c r="Q27" s="118"/>
      <c r="R27" s="118"/>
      <c r="S27" s="118"/>
      <c r="T27" s="120"/>
      <c r="U27" s="121"/>
      <c r="V27" s="121"/>
      <c r="W27" s="121"/>
      <c r="X27" s="120"/>
      <c r="Y27" s="121"/>
      <c r="Z27" s="121"/>
      <c r="AA27" s="121"/>
      <c r="AB27" s="120"/>
      <c r="AC27" s="121"/>
      <c r="AD27" s="61"/>
      <c r="AE27" s="61"/>
      <c r="AF27" s="116"/>
      <c r="AG27" s="63"/>
      <c r="AH27" s="61"/>
      <c r="AI27" s="61"/>
      <c r="AJ27" s="116"/>
      <c r="AK27" s="63"/>
      <c r="AL27" s="61"/>
      <c r="AM27" s="61"/>
      <c r="AN27" s="116"/>
      <c r="AO27" s="63"/>
      <c r="AP27" s="61"/>
      <c r="AQ27" s="61"/>
      <c r="AR27" s="116"/>
      <c r="AS27" s="2"/>
      <c r="AT27" s="2"/>
      <c r="AU27" s="2"/>
      <c r="AV27" s="2"/>
      <c r="AW27" s="2"/>
      <c r="AX27" s="2"/>
      <c r="AY27" s="2"/>
      <c r="AZ27" s="2"/>
      <c r="BA27" s="2"/>
      <c r="BB27" s="2"/>
      <c r="BC27" s="2"/>
      <c r="BD27" s="2"/>
      <c r="BE27" s="2"/>
      <c r="BF27" s="2"/>
      <c r="BG27" s="2"/>
      <c r="BH27" s="2"/>
      <c r="BI27" s="2"/>
      <c r="BJ27" s="2"/>
    </row>
    <row r="28" spans="1:62" s="2" customFormat="1" ht="35.1" customHeight="1" thickBot="1" x14ac:dyDescent="0.3">
      <c r="A28" s="22" t="s">
        <v>38</v>
      </c>
      <c r="B28" s="94">
        <v>1</v>
      </c>
      <c r="C28" s="207">
        <v>2</v>
      </c>
      <c r="D28" s="207">
        <v>2.25</v>
      </c>
      <c r="E28" s="42"/>
      <c r="F28" s="39"/>
      <c r="G28" s="39"/>
      <c r="H28" s="43"/>
      <c r="I28" s="42"/>
      <c r="J28" s="39"/>
      <c r="K28" s="39"/>
      <c r="L28" s="43"/>
      <c r="M28" s="42"/>
      <c r="N28" s="39"/>
      <c r="O28" s="38">
        <v>1</v>
      </c>
      <c r="P28" s="124">
        <v>0.75</v>
      </c>
      <c r="Q28" s="127"/>
      <c r="R28" s="127"/>
      <c r="S28" s="127"/>
      <c r="T28" s="43"/>
      <c r="U28" s="65">
        <v>0.5</v>
      </c>
      <c r="V28" s="39"/>
      <c r="W28" s="39"/>
      <c r="X28" s="43"/>
      <c r="Y28" s="42"/>
      <c r="Z28" s="39"/>
      <c r="AA28" s="39"/>
      <c r="AB28" s="43"/>
      <c r="AC28" s="42"/>
      <c r="AD28" s="39"/>
      <c r="AE28" s="39"/>
      <c r="AF28" s="43"/>
      <c r="AG28" s="42"/>
      <c r="AH28" s="39"/>
      <c r="AI28" s="39"/>
      <c r="AJ28" s="43"/>
      <c r="AK28" s="42"/>
      <c r="AL28" s="39"/>
      <c r="AM28" s="39"/>
      <c r="AN28" s="43"/>
      <c r="AO28" s="42"/>
      <c r="AP28" s="39"/>
      <c r="AQ28" s="39"/>
      <c r="AR28" s="43"/>
    </row>
    <row r="29" spans="1:62" s="2" customFormat="1" ht="35.1" customHeight="1" thickBot="1" x14ac:dyDescent="0.3">
      <c r="A29" s="22" t="s">
        <v>38</v>
      </c>
      <c r="B29" s="142" t="s">
        <v>25</v>
      </c>
      <c r="C29" s="207">
        <v>2</v>
      </c>
      <c r="D29" s="207">
        <v>2</v>
      </c>
      <c r="E29" s="42"/>
      <c r="F29" s="39"/>
      <c r="G29" s="39"/>
      <c r="H29" s="43"/>
      <c r="I29" s="42"/>
      <c r="J29" s="39"/>
      <c r="K29" s="39"/>
      <c r="L29" s="43"/>
      <c r="M29" s="42"/>
      <c r="N29" s="39"/>
      <c r="O29" s="39"/>
      <c r="P29" s="43"/>
      <c r="Q29" s="42"/>
      <c r="R29" s="74">
        <v>1.5</v>
      </c>
      <c r="S29" s="74">
        <v>0.5</v>
      </c>
      <c r="T29" s="43"/>
      <c r="U29" s="42"/>
      <c r="V29" s="39"/>
      <c r="W29" s="39"/>
      <c r="X29" s="43"/>
      <c r="Y29" s="42"/>
      <c r="Z29" s="39"/>
      <c r="AA29" s="39"/>
      <c r="AB29" s="43"/>
      <c r="AC29" s="42"/>
      <c r="AD29" s="39"/>
      <c r="AE29" s="39"/>
      <c r="AF29" s="43"/>
      <c r="AG29" s="42"/>
      <c r="AH29" s="39"/>
      <c r="AI29" s="39"/>
      <c r="AJ29" s="43"/>
      <c r="AK29" s="42"/>
      <c r="AL29" s="39"/>
      <c r="AM29" s="39"/>
      <c r="AN29" s="43"/>
      <c r="AO29" s="42"/>
      <c r="AP29" s="39"/>
      <c r="AQ29" s="39"/>
      <c r="AR29" s="43"/>
    </row>
    <row r="30" spans="1:62" s="2" customFormat="1" ht="35.1" customHeight="1" thickBot="1" x14ac:dyDescent="0.3">
      <c r="A30" s="22" t="s">
        <v>39</v>
      </c>
      <c r="B30" s="94">
        <v>1</v>
      </c>
      <c r="C30" s="207">
        <v>3</v>
      </c>
      <c r="D30" s="207">
        <v>1.75</v>
      </c>
      <c r="E30" s="42"/>
      <c r="F30" s="39"/>
      <c r="G30" s="39"/>
      <c r="H30" s="43"/>
      <c r="I30" s="42"/>
      <c r="J30" s="39"/>
      <c r="K30" s="39"/>
      <c r="L30" s="43"/>
      <c r="M30" s="42"/>
      <c r="N30" s="39"/>
      <c r="O30" s="39"/>
      <c r="P30" s="72">
        <v>0.75</v>
      </c>
      <c r="Q30" s="127"/>
      <c r="R30" s="127"/>
      <c r="S30" s="127"/>
      <c r="T30" s="72">
        <v>0.75</v>
      </c>
      <c r="U30" s="65">
        <v>0.25</v>
      </c>
      <c r="V30" s="39"/>
      <c r="W30" s="39"/>
      <c r="X30" s="43"/>
      <c r="Y30" s="39"/>
      <c r="Z30" s="39"/>
      <c r="AA30" s="39"/>
      <c r="AB30" s="43"/>
      <c r="AC30" s="42"/>
      <c r="AD30" s="39"/>
      <c r="AE30" s="39"/>
      <c r="AF30" s="43"/>
      <c r="AG30" s="42"/>
      <c r="AH30" s="39"/>
      <c r="AI30" s="39"/>
      <c r="AJ30" s="43"/>
      <c r="AK30" s="42"/>
      <c r="AL30" s="39"/>
      <c r="AM30" s="39"/>
      <c r="AN30" s="43"/>
      <c r="AO30" s="42"/>
      <c r="AP30" s="39"/>
      <c r="AQ30" s="39"/>
      <c r="AR30" s="43"/>
    </row>
    <row r="31" spans="1:62" ht="35.1" customHeight="1" thickBot="1" x14ac:dyDescent="0.3">
      <c r="A31" s="22" t="s">
        <v>39</v>
      </c>
      <c r="B31" s="142" t="s">
        <v>25</v>
      </c>
      <c r="C31" s="207">
        <v>3</v>
      </c>
      <c r="D31" s="207">
        <v>3</v>
      </c>
      <c r="E31" s="42"/>
      <c r="F31" s="39"/>
      <c r="G31" s="39"/>
      <c r="H31" s="43"/>
      <c r="I31" s="42"/>
      <c r="J31" s="39"/>
      <c r="K31" s="39"/>
      <c r="L31" s="43"/>
      <c r="M31" s="42"/>
      <c r="N31" s="39"/>
      <c r="O31" s="39"/>
      <c r="P31" s="43"/>
      <c r="Q31" s="42"/>
      <c r="R31" s="39"/>
      <c r="S31" s="74">
        <v>1</v>
      </c>
      <c r="T31" s="77">
        <v>1</v>
      </c>
      <c r="U31" s="73">
        <v>1</v>
      </c>
      <c r="V31" s="39"/>
      <c r="W31" s="39"/>
      <c r="X31" s="43"/>
      <c r="Y31" s="39"/>
      <c r="Z31" s="39"/>
      <c r="AA31" s="39"/>
      <c r="AB31" s="43"/>
      <c r="AC31" s="42"/>
      <c r="AD31" s="39"/>
      <c r="AE31" s="39"/>
      <c r="AF31" s="43"/>
      <c r="AG31" s="42"/>
      <c r="AH31" s="39"/>
      <c r="AI31" s="39"/>
      <c r="AJ31" s="43"/>
      <c r="AK31" s="42"/>
      <c r="AL31" s="39"/>
      <c r="AM31" s="39"/>
      <c r="AN31" s="43"/>
      <c r="AO31" s="42"/>
      <c r="AP31" s="39"/>
      <c r="AQ31" s="39"/>
      <c r="AR31" s="43"/>
    </row>
    <row r="32" spans="1:62" s="64" customFormat="1" ht="35.1" customHeight="1" thickBot="1" x14ac:dyDescent="0.3">
      <c r="A32" s="22" t="s">
        <v>40</v>
      </c>
      <c r="B32" s="94">
        <v>1</v>
      </c>
      <c r="C32" s="207">
        <v>3</v>
      </c>
      <c r="D32" s="207">
        <v>1.5</v>
      </c>
      <c r="E32" s="42"/>
      <c r="F32" s="39"/>
      <c r="G32" s="39"/>
      <c r="H32" s="43"/>
      <c r="I32" s="42"/>
      <c r="J32" s="39"/>
      <c r="K32" s="39"/>
      <c r="L32" s="43"/>
      <c r="M32" s="42"/>
      <c r="N32" s="39"/>
      <c r="O32" s="39"/>
      <c r="P32" s="43"/>
      <c r="Q32" s="127"/>
      <c r="R32" s="127"/>
      <c r="S32" s="127"/>
      <c r="T32" s="72">
        <v>0.25</v>
      </c>
      <c r="U32" s="65">
        <v>0.75</v>
      </c>
      <c r="V32" s="38">
        <v>0.5</v>
      </c>
      <c r="W32" s="39"/>
      <c r="X32" s="43"/>
      <c r="Y32" s="39"/>
      <c r="Z32" s="39"/>
      <c r="AA32" s="39"/>
      <c r="AB32" s="43"/>
      <c r="AC32" s="42"/>
      <c r="AD32" s="39"/>
      <c r="AE32" s="39"/>
      <c r="AF32" s="43"/>
      <c r="AG32" s="42"/>
      <c r="AH32" s="39"/>
      <c r="AI32" s="39"/>
      <c r="AJ32" s="43"/>
      <c r="AK32" s="42"/>
      <c r="AL32" s="39"/>
      <c r="AM32" s="39"/>
      <c r="AN32" s="43"/>
      <c r="AO32" s="42"/>
      <c r="AP32" s="39"/>
      <c r="AQ32" s="39"/>
      <c r="AR32" s="43"/>
      <c r="AS32"/>
      <c r="AT32"/>
      <c r="AU32"/>
      <c r="AV32"/>
      <c r="AW32"/>
      <c r="AX32"/>
      <c r="AY32"/>
      <c r="AZ32"/>
      <c r="BA32"/>
      <c r="BB32"/>
      <c r="BC32"/>
      <c r="BD32"/>
      <c r="BE32"/>
      <c r="BF32"/>
      <c r="BG32"/>
      <c r="BH32"/>
      <c r="BI32"/>
      <c r="BJ32"/>
    </row>
    <row r="33" spans="1:44" ht="35.1" customHeight="1" thickBot="1" x14ac:dyDescent="0.3">
      <c r="A33" s="22" t="s">
        <v>40</v>
      </c>
      <c r="B33" s="142" t="s">
        <v>25</v>
      </c>
      <c r="C33" s="207">
        <v>3</v>
      </c>
      <c r="D33" s="207">
        <v>3</v>
      </c>
      <c r="E33" s="42"/>
      <c r="F33" s="39"/>
      <c r="G33" s="39"/>
      <c r="H33" s="43"/>
      <c r="I33" s="42"/>
      <c r="J33" s="39"/>
      <c r="K33" s="39"/>
      <c r="L33" s="43"/>
      <c r="M33" s="42"/>
      <c r="N33" s="39"/>
      <c r="O33" s="39"/>
      <c r="P33" s="43"/>
      <c r="Q33" s="127"/>
      <c r="R33" s="127"/>
      <c r="S33" s="127"/>
      <c r="T33" s="43"/>
      <c r="U33" s="73">
        <v>0.75</v>
      </c>
      <c r="V33" s="73">
        <v>1.75</v>
      </c>
      <c r="W33" s="73">
        <v>0.5</v>
      </c>
      <c r="X33" s="43"/>
      <c r="Y33" s="39"/>
      <c r="Z33" s="39"/>
      <c r="AA33" s="39"/>
      <c r="AB33" s="43"/>
      <c r="AC33" s="42"/>
      <c r="AD33" s="39"/>
      <c r="AE33" s="39"/>
      <c r="AF33" s="43"/>
      <c r="AG33" s="42"/>
      <c r="AH33" s="39"/>
      <c r="AI33" s="39"/>
      <c r="AJ33" s="43"/>
      <c r="AK33" s="42"/>
      <c r="AL33" s="39"/>
      <c r="AM33" s="39"/>
      <c r="AN33" s="43"/>
      <c r="AO33" s="42"/>
      <c r="AP33" s="39"/>
      <c r="AQ33" s="39"/>
      <c r="AR33" s="43"/>
    </row>
    <row r="34" spans="1:44" ht="35.1" customHeight="1" thickBot="1" x14ac:dyDescent="0.3">
      <c r="A34" s="22" t="s">
        <v>41</v>
      </c>
      <c r="B34" s="94">
        <v>1</v>
      </c>
      <c r="C34" s="207">
        <v>3</v>
      </c>
      <c r="D34" s="207">
        <v>2.25</v>
      </c>
      <c r="E34" s="42"/>
      <c r="F34" s="39"/>
      <c r="G34" s="39"/>
      <c r="H34" s="43"/>
      <c r="I34" s="42"/>
      <c r="J34" s="39"/>
      <c r="K34" s="39"/>
      <c r="L34" s="43"/>
      <c r="M34" s="42"/>
      <c r="N34" s="39"/>
      <c r="O34" s="39"/>
      <c r="P34" s="43"/>
      <c r="Q34" s="127"/>
      <c r="R34" s="127"/>
      <c r="S34" s="127"/>
      <c r="T34" s="72">
        <v>0.5</v>
      </c>
      <c r="U34" s="65">
        <v>0.25</v>
      </c>
      <c r="V34" s="38">
        <v>1.25</v>
      </c>
      <c r="W34" s="38">
        <v>0.25</v>
      </c>
      <c r="X34" s="43"/>
      <c r="Y34" s="42"/>
      <c r="Z34" s="39"/>
      <c r="AA34" s="39"/>
      <c r="AB34" s="43"/>
      <c r="AC34" s="42"/>
      <c r="AD34" s="39"/>
      <c r="AE34" s="39"/>
      <c r="AF34" s="43"/>
      <c r="AG34" s="42"/>
      <c r="AH34" s="39"/>
      <c r="AI34" s="39"/>
      <c r="AJ34" s="43"/>
      <c r="AK34" s="42"/>
      <c r="AL34" s="39"/>
      <c r="AM34" s="39"/>
      <c r="AN34" s="43"/>
      <c r="AO34" s="42"/>
      <c r="AP34" s="39"/>
      <c r="AQ34" s="39"/>
      <c r="AR34" s="43"/>
    </row>
    <row r="35" spans="1:44" ht="35.1" customHeight="1" thickBot="1" x14ac:dyDescent="0.3">
      <c r="A35" s="22" t="s">
        <v>41</v>
      </c>
      <c r="B35" s="142" t="s">
        <v>25</v>
      </c>
      <c r="C35" s="207">
        <v>3</v>
      </c>
      <c r="D35" s="207">
        <v>3</v>
      </c>
      <c r="E35" s="42"/>
      <c r="F35" s="39"/>
      <c r="G35" s="39"/>
      <c r="H35" s="43"/>
      <c r="I35" s="42"/>
      <c r="J35" s="39"/>
      <c r="K35" s="39"/>
      <c r="L35" s="43"/>
      <c r="M35" s="42"/>
      <c r="N35" s="39"/>
      <c r="O35" s="39"/>
      <c r="P35" s="43"/>
      <c r="Q35" s="127"/>
      <c r="R35" s="127"/>
      <c r="S35" s="127"/>
      <c r="T35" s="43"/>
      <c r="U35" s="42"/>
      <c r="V35" s="39"/>
      <c r="W35" s="73">
        <v>1</v>
      </c>
      <c r="X35" s="77">
        <v>1</v>
      </c>
      <c r="Y35" s="73">
        <v>1</v>
      </c>
      <c r="Z35" s="39"/>
      <c r="AA35" s="39"/>
      <c r="AB35" s="43"/>
      <c r="AC35" s="42"/>
      <c r="AD35" s="39"/>
      <c r="AE35" s="39"/>
      <c r="AF35" s="43"/>
      <c r="AG35" s="42"/>
      <c r="AH35" s="39"/>
      <c r="AI35" s="39"/>
      <c r="AJ35" s="43"/>
      <c r="AK35" s="42"/>
      <c r="AL35" s="39"/>
      <c r="AM35" s="39"/>
      <c r="AN35" s="43"/>
      <c r="AO35" s="42"/>
      <c r="AP35" s="39"/>
      <c r="AQ35" s="39"/>
      <c r="AR35" s="43"/>
    </row>
    <row r="36" spans="1:44" ht="35.1" customHeight="1" thickBot="1" x14ac:dyDescent="0.3">
      <c r="A36" s="22" t="s">
        <v>42</v>
      </c>
      <c r="B36" s="94">
        <v>1</v>
      </c>
      <c r="C36" s="207">
        <v>4</v>
      </c>
      <c r="D36" s="207">
        <v>0.25</v>
      </c>
      <c r="E36" s="42"/>
      <c r="F36" s="39"/>
      <c r="G36" s="39"/>
      <c r="H36" s="43"/>
      <c r="I36" s="42"/>
      <c r="J36" s="39"/>
      <c r="K36" s="39"/>
      <c r="L36" s="43"/>
      <c r="M36" s="42"/>
      <c r="N36" s="39"/>
      <c r="O36" s="39"/>
      <c r="P36" s="43"/>
      <c r="Q36" s="127"/>
      <c r="R36" s="127"/>
      <c r="S36" s="127"/>
      <c r="T36" s="43"/>
      <c r="U36" s="65">
        <v>0.25</v>
      </c>
      <c r="V36" s="2"/>
      <c r="W36" s="39"/>
      <c r="X36" s="43"/>
      <c r="Y36" s="39"/>
      <c r="Z36" s="39"/>
      <c r="AA36" s="39"/>
      <c r="AB36" s="43"/>
      <c r="AC36" s="42"/>
      <c r="AD36" s="39"/>
      <c r="AE36" s="39"/>
      <c r="AF36" s="43"/>
      <c r="AG36" s="42"/>
      <c r="AH36" s="39"/>
      <c r="AI36" s="39"/>
      <c r="AJ36" s="43"/>
      <c r="AK36" s="42"/>
      <c r="AL36" s="39"/>
      <c r="AM36" s="39"/>
      <c r="AN36" s="43"/>
      <c r="AO36" s="42"/>
      <c r="AP36" s="39"/>
      <c r="AQ36" s="39"/>
      <c r="AR36" s="43"/>
    </row>
    <row r="37" spans="1:44" ht="30" customHeight="1" thickBot="1" x14ac:dyDescent="0.3">
      <c r="A37" s="22" t="s">
        <v>42</v>
      </c>
      <c r="B37" s="142" t="s">
        <v>25</v>
      </c>
      <c r="C37" s="207">
        <v>4</v>
      </c>
      <c r="D37" s="207">
        <v>4</v>
      </c>
      <c r="E37" s="42"/>
      <c r="F37" s="39"/>
      <c r="G37" s="39"/>
      <c r="H37" s="43"/>
      <c r="I37" s="42"/>
      <c r="J37" s="39"/>
      <c r="K37" s="39"/>
      <c r="L37" s="43"/>
      <c r="M37" s="42"/>
      <c r="N37" s="39"/>
      <c r="O37" s="39"/>
      <c r="P37" s="43"/>
      <c r="Q37" s="127"/>
      <c r="R37" s="127"/>
      <c r="S37" s="127"/>
      <c r="T37" s="43"/>
      <c r="U37" s="42"/>
      <c r="V37" s="39"/>
      <c r="W37" s="39"/>
      <c r="X37" s="43"/>
      <c r="Y37" s="39"/>
      <c r="Z37" s="74">
        <v>1.75</v>
      </c>
      <c r="AA37" s="74">
        <v>1.5</v>
      </c>
      <c r="AB37" s="77">
        <v>0.75</v>
      </c>
      <c r="AC37" s="42"/>
      <c r="AD37" s="39"/>
      <c r="AE37" s="39"/>
      <c r="AF37" s="43"/>
      <c r="AG37" s="42"/>
      <c r="AH37" s="39"/>
      <c r="AI37" s="39"/>
      <c r="AJ37" s="43"/>
      <c r="AK37" s="42"/>
      <c r="AL37" s="39"/>
      <c r="AM37" s="39"/>
      <c r="AN37" s="43"/>
      <c r="AO37" s="42"/>
      <c r="AP37" s="39"/>
      <c r="AQ37" s="39"/>
      <c r="AR37" s="43"/>
    </row>
    <row r="38" spans="1:44" ht="30" customHeight="1" thickBot="1" x14ac:dyDescent="0.3">
      <c r="A38" s="22" t="s">
        <v>43</v>
      </c>
      <c r="B38" s="95">
        <v>1</v>
      </c>
      <c r="C38" s="210">
        <v>3</v>
      </c>
      <c r="D38" s="207">
        <v>1.75</v>
      </c>
      <c r="E38" s="57"/>
      <c r="F38" s="55"/>
      <c r="G38" s="55"/>
      <c r="H38" s="56"/>
      <c r="I38" s="57"/>
      <c r="J38" s="55"/>
      <c r="K38" s="55"/>
      <c r="L38" s="56"/>
      <c r="M38" s="57"/>
      <c r="N38" s="55"/>
      <c r="O38" s="55"/>
      <c r="P38" s="56"/>
      <c r="Q38" s="127"/>
      <c r="R38" s="127"/>
      <c r="S38" s="127"/>
      <c r="T38" s="56"/>
      <c r="U38" s="57"/>
      <c r="V38" s="55"/>
      <c r="W38" s="55"/>
      <c r="X38" s="129">
        <v>0.5</v>
      </c>
      <c r="Y38" s="114">
        <v>1.25</v>
      </c>
      <c r="Z38" s="55"/>
      <c r="AA38" s="55"/>
      <c r="AB38" s="56"/>
      <c r="AC38" s="42"/>
      <c r="AD38" s="39"/>
      <c r="AE38" s="55"/>
      <c r="AF38" s="56"/>
      <c r="AG38" s="57"/>
      <c r="AH38" s="55"/>
      <c r="AI38" s="55"/>
      <c r="AJ38" s="56"/>
      <c r="AK38" s="57"/>
      <c r="AL38" s="55"/>
      <c r="AM38" s="55"/>
      <c r="AN38" s="56"/>
      <c r="AO38" s="57"/>
      <c r="AP38" s="55"/>
      <c r="AQ38" s="55"/>
      <c r="AR38" s="43"/>
    </row>
    <row r="39" spans="1:44" ht="30" customHeight="1" thickBot="1" x14ac:dyDescent="0.3">
      <c r="A39" s="22" t="s">
        <v>43</v>
      </c>
      <c r="B39" s="142" t="s">
        <v>25</v>
      </c>
      <c r="C39" s="210">
        <v>3</v>
      </c>
      <c r="D39" s="207">
        <v>3</v>
      </c>
      <c r="E39" s="57"/>
      <c r="F39" s="55"/>
      <c r="G39" s="55"/>
      <c r="H39" s="56"/>
      <c r="I39" s="57"/>
      <c r="J39" s="55"/>
      <c r="K39" s="55"/>
      <c r="L39" s="56"/>
      <c r="M39" s="57"/>
      <c r="N39" s="55"/>
      <c r="O39" s="55"/>
      <c r="P39" s="56"/>
      <c r="Q39" s="127"/>
      <c r="R39" s="127"/>
      <c r="S39" s="127"/>
      <c r="T39" s="56"/>
      <c r="U39" s="57"/>
      <c r="V39" s="55"/>
      <c r="W39" s="55"/>
      <c r="X39" s="56"/>
      <c r="Y39" s="55"/>
      <c r="Z39" s="55"/>
      <c r="AA39" s="55"/>
      <c r="AB39" s="56"/>
      <c r="AC39" s="78">
        <v>1.75</v>
      </c>
      <c r="AD39" s="79">
        <v>1.25</v>
      </c>
      <c r="AE39" s="55"/>
      <c r="AF39" s="56"/>
      <c r="AG39" s="57"/>
      <c r="AH39" s="55"/>
      <c r="AI39" s="55"/>
      <c r="AJ39" s="56"/>
      <c r="AK39" s="57"/>
      <c r="AL39" s="55"/>
      <c r="AM39" s="55"/>
      <c r="AN39" s="56"/>
      <c r="AO39" s="57"/>
      <c r="AP39" s="55"/>
      <c r="AQ39" s="55"/>
      <c r="AR39" s="56"/>
    </row>
    <row r="40" spans="1:44" ht="30" customHeight="1" thickBot="1" x14ac:dyDescent="0.3">
      <c r="A40" s="36" t="s">
        <v>62</v>
      </c>
      <c r="B40" s="95">
        <v>1</v>
      </c>
      <c r="C40" s="208">
        <v>3</v>
      </c>
      <c r="D40" s="208">
        <v>0.5</v>
      </c>
      <c r="E40" s="48"/>
      <c r="F40" s="46"/>
      <c r="G40" s="46"/>
      <c r="H40" s="47"/>
      <c r="I40" s="48"/>
      <c r="J40" s="46"/>
      <c r="K40" s="46"/>
      <c r="L40" s="47"/>
      <c r="M40" s="48"/>
      <c r="N40" s="46"/>
      <c r="O40" s="46"/>
      <c r="P40" s="47"/>
      <c r="Q40" s="127"/>
      <c r="R40" s="127"/>
      <c r="S40" s="127"/>
      <c r="T40" s="47"/>
      <c r="U40" s="48"/>
      <c r="V40" s="46"/>
      <c r="W40" s="46"/>
      <c r="X40" s="47"/>
      <c r="Y40" s="46"/>
      <c r="Z40" s="132">
        <v>0.5</v>
      </c>
      <c r="AA40" s="55"/>
      <c r="AB40" s="47"/>
      <c r="AC40" s="48"/>
      <c r="AD40" s="46"/>
      <c r="AE40" s="46"/>
      <c r="AF40" s="47"/>
      <c r="AG40" s="48"/>
      <c r="AH40" s="46"/>
      <c r="AI40" s="46"/>
      <c r="AJ40" s="47"/>
      <c r="AK40" s="48"/>
      <c r="AL40" s="46"/>
      <c r="AM40" s="46"/>
      <c r="AN40" s="47"/>
      <c r="AO40" s="48"/>
      <c r="AP40" s="46"/>
      <c r="AQ40" s="46"/>
      <c r="AR40" s="47"/>
    </row>
    <row r="41" spans="1:44" ht="30" customHeight="1" thickBot="1" x14ac:dyDescent="0.3">
      <c r="A41" s="22" t="s">
        <v>50</v>
      </c>
      <c r="B41" s="142" t="s">
        <v>25</v>
      </c>
      <c r="C41" s="210">
        <v>1</v>
      </c>
      <c r="D41" s="207">
        <v>1</v>
      </c>
      <c r="E41" s="57"/>
      <c r="F41" s="55"/>
      <c r="G41" s="55"/>
      <c r="H41" s="56"/>
      <c r="I41" s="57"/>
      <c r="J41" s="55"/>
      <c r="K41" s="55"/>
      <c r="L41" s="56"/>
      <c r="M41" s="57"/>
      <c r="N41" s="55"/>
      <c r="O41" s="55"/>
      <c r="P41" s="56"/>
      <c r="Q41" s="127"/>
      <c r="R41" s="127"/>
      <c r="S41" s="127"/>
      <c r="T41" s="56"/>
      <c r="U41" s="57"/>
      <c r="V41" s="55"/>
      <c r="W41" s="55"/>
      <c r="X41" s="56"/>
      <c r="Y41" s="55"/>
      <c r="Z41" s="55"/>
      <c r="AA41" s="55"/>
      <c r="AB41" s="56"/>
      <c r="AC41" s="57"/>
      <c r="AD41" s="55"/>
      <c r="AE41" s="79">
        <v>1</v>
      </c>
      <c r="AF41" s="56"/>
      <c r="AG41" s="57"/>
      <c r="AH41" s="55"/>
      <c r="AI41" s="55"/>
      <c r="AJ41" s="56"/>
      <c r="AK41" s="57"/>
      <c r="AL41" s="55"/>
      <c r="AM41" s="55"/>
      <c r="AN41" s="56"/>
      <c r="AO41" s="57"/>
      <c r="AP41" s="55"/>
      <c r="AQ41" s="55"/>
      <c r="AR41" s="56"/>
    </row>
    <row r="42" spans="1:44" ht="30" customHeight="1" thickBot="1" x14ac:dyDescent="0.3">
      <c r="A42" s="130" t="s">
        <v>61</v>
      </c>
      <c r="B42" s="95">
        <v>1</v>
      </c>
      <c r="C42" s="210">
        <v>1</v>
      </c>
      <c r="D42" s="210">
        <v>0.5</v>
      </c>
      <c r="E42" s="57"/>
      <c r="F42" s="55"/>
      <c r="G42" s="55"/>
      <c r="H42" s="56"/>
      <c r="I42" s="57"/>
      <c r="J42" s="55"/>
      <c r="K42" s="55"/>
      <c r="L42" s="56"/>
      <c r="M42" s="57"/>
      <c r="N42" s="55"/>
      <c r="O42" s="55"/>
      <c r="P42" s="56"/>
      <c r="Q42" s="127"/>
      <c r="R42" s="127"/>
      <c r="S42" s="127"/>
      <c r="T42" s="56"/>
      <c r="U42" s="57"/>
      <c r="V42" s="55"/>
      <c r="W42" s="55"/>
      <c r="X42" s="56"/>
      <c r="Y42" s="55"/>
      <c r="Z42" s="55"/>
      <c r="AA42" s="55"/>
      <c r="AB42" s="56"/>
      <c r="AC42" s="133">
        <v>0.5</v>
      </c>
      <c r="AD42" s="55"/>
      <c r="AE42" s="46"/>
      <c r="AF42" s="56"/>
      <c r="AG42" s="57"/>
      <c r="AH42" s="55"/>
      <c r="AI42" s="55"/>
      <c r="AJ42" s="56"/>
      <c r="AK42" s="57"/>
      <c r="AL42" s="55"/>
      <c r="AM42" s="55"/>
      <c r="AN42" s="56"/>
      <c r="AO42" s="57"/>
      <c r="AP42" s="55"/>
      <c r="AQ42" s="55"/>
      <c r="AR42" s="47"/>
    </row>
    <row r="43" spans="1:44" ht="30" customHeight="1" thickBot="1" x14ac:dyDescent="0.3">
      <c r="A43" s="36" t="s">
        <v>51</v>
      </c>
      <c r="B43" s="142" t="s">
        <v>25</v>
      </c>
      <c r="C43" s="208">
        <v>3</v>
      </c>
      <c r="D43" s="208">
        <v>3</v>
      </c>
      <c r="E43" s="48"/>
      <c r="F43" s="46"/>
      <c r="G43" s="46"/>
      <c r="H43" s="47"/>
      <c r="I43" s="48"/>
      <c r="J43" s="46"/>
      <c r="K43" s="46"/>
      <c r="L43" s="47"/>
      <c r="M43" s="48"/>
      <c r="N43" s="46"/>
      <c r="O43" s="46"/>
      <c r="P43" s="47"/>
      <c r="Q43" s="127"/>
      <c r="R43" s="127"/>
      <c r="S43" s="127"/>
      <c r="T43" s="47"/>
      <c r="U43" s="48"/>
      <c r="V43" s="46"/>
      <c r="W43" s="46"/>
      <c r="X43" s="47"/>
      <c r="Y43" s="46"/>
      <c r="Z43" s="46"/>
      <c r="AA43" s="46"/>
      <c r="AB43" s="47"/>
      <c r="AC43" s="48"/>
      <c r="AD43" s="46"/>
      <c r="AE43" s="46"/>
      <c r="AF43" s="75">
        <v>1</v>
      </c>
      <c r="AG43" s="80">
        <v>1.75</v>
      </c>
      <c r="AH43" s="76">
        <v>0.25</v>
      </c>
      <c r="AI43" s="46"/>
      <c r="AJ43" s="47"/>
      <c r="AK43" s="48"/>
      <c r="AL43" s="46"/>
      <c r="AM43" s="46"/>
      <c r="AN43" s="47"/>
      <c r="AO43" s="48"/>
      <c r="AP43" s="46"/>
      <c r="AQ43" s="46"/>
      <c r="AR43" s="47"/>
    </row>
    <row r="44" spans="1:44" ht="30" customHeight="1" thickBot="1" x14ac:dyDescent="0.3">
      <c r="A44" s="131" t="s">
        <v>44</v>
      </c>
      <c r="B44" s="96">
        <f>SUMPRODUCT(B45:B49, C45:C49) / SUM( C45:C49)</f>
        <v>0.625</v>
      </c>
      <c r="C44" s="211">
        <v>10</v>
      </c>
      <c r="D44" s="211">
        <v>4.5</v>
      </c>
      <c r="E44" s="63"/>
      <c r="F44" s="61"/>
      <c r="G44" s="61"/>
      <c r="H44" s="116"/>
      <c r="I44" s="63"/>
      <c r="J44" s="61"/>
      <c r="K44" s="61"/>
      <c r="L44" s="116"/>
      <c r="M44" s="63"/>
      <c r="N44" s="61"/>
      <c r="O44" s="61"/>
      <c r="P44" s="116"/>
      <c r="Q44" s="127"/>
      <c r="R44" s="127"/>
      <c r="S44" s="127"/>
      <c r="T44" s="116"/>
      <c r="U44" s="63"/>
      <c r="V44" s="61"/>
      <c r="W44" s="61"/>
      <c r="X44" s="116"/>
      <c r="Y44" s="61"/>
      <c r="Z44" s="61"/>
      <c r="AA44" s="61"/>
      <c r="AB44" s="116"/>
      <c r="AC44" s="96"/>
      <c r="AD44" s="96"/>
      <c r="AE44" s="96"/>
      <c r="AF44" s="116"/>
      <c r="AG44" s="61"/>
      <c r="AH44" s="61"/>
      <c r="AI44" s="61"/>
      <c r="AJ44" s="116"/>
      <c r="AK44" s="61"/>
      <c r="AL44" s="61"/>
      <c r="AM44" s="61"/>
      <c r="AN44" s="116"/>
      <c r="AO44" s="63"/>
      <c r="AP44" s="61"/>
      <c r="AQ44" s="61"/>
      <c r="AR44" s="116"/>
    </row>
    <row r="45" spans="1:44" ht="30" customHeight="1" thickBot="1" x14ac:dyDescent="0.3">
      <c r="A45" s="24" t="s">
        <v>52</v>
      </c>
      <c r="B45" s="97">
        <v>1</v>
      </c>
      <c r="C45" s="209">
        <v>3</v>
      </c>
      <c r="D45" s="207">
        <v>1.25</v>
      </c>
      <c r="E45" s="51"/>
      <c r="F45" s="52"/>
      <c r="G45" s="52"/>
      <c r="H45" s="53"/>
      <c r="I45" s="51"/>
      <c r="J45" s="52"/>
      <c r="K45" s="52"/>
      <c r="L45" s="53"/>
      <c r="M45" s="51"/>
      <c r="N45" s="52"/>
      <c r="O45" s="52"/>
      <c r="P45" s="53"/>
      <c r="Q45" s="127"/>
      <c r="R45" s="127"/>
      <c r="S45" s="127"/>
      <c r="T45" s="53"/>
      <c r="U45" s="51"/>
      <c r="V45" s="52"/>
      <c r="W45" s="52"/>
      <c r="X45" s="53"/>
      <c r="Y45" s="52"/>
      <c r="Z45" s="52"/>
      <c r="AA45" s="52"/>
      <c r="AB45" s="53"/>
      <c r="AC45" s="134">
        <v>0.75</v>
      </c>
      <c r="AD45" s="135">
        <v>0.5</v>
      </c>
      <c r="AE45" s="52"/>
      <c r="AF45" s="53"/>
      <c r="AG45" s="52"/>
      <c r="AH45" s="52"/>
      <c r="AI45" s="52"/>
      <c r="AJ45" s="53"/>
      <c r="AK45" s="52"/>
      <c r="AL45" s="52"/>
      <c r="AM45" s="52"/>
      <c r="AN45" s="53"/>
      <c r="AO45" s="51"/>
      <c r="AP45" s="52"/>
      <c r="AQ45" s="52"/>
      <c r="AR45" s="53"/>
    </row>
    <row r="46" spans="1:44" ht="30" customHeight="1" thickBot="1" x14ac:dyDescent="0.3">
      <c r="A46" s="24" t="s">
        <v>52</v>
      </c>
      <c r="B46" s="142" t="s">
        <v>25</v>
      </c>
      <c r="C46" s="209">
        <v>3</v>
      </c>
      <c r="D46" s="207">
        <v>3</v>
      </c>
      <c r="E46" s="51"/>
      <c r="F46" s="52"/>
      <c r="G46" s="52"/>
      <c r="H46" s="53"/>
      <c r="I46" s="51"/>
      <c r="J46" s="52"/>
      <c r="K46" s="52"/>
      <c r="L46" s="53"/>
      <c r="M46" s="51"/>
      <c r="N46" s="52"/>
      <c r="O46" s="52"/>
      <c r="P46" s="53"/>
      <c r="Q46" s="127"/>
      <c r="R46" s="127"/>
      <c r="S46" s="127"/>
      <c r="T46" s="53"/>
      <c r="U46" s="51"/>
      <c r="V46" s="52"/>
      <c r="W46" s="52"/>
      <c r="X46" s="53"/>
      <c r="Y46" s="52"/>
      <c r="Z46" s="52"/>
      <c r="AA46" s="52"/>
      <c r="AB46" s="53"/>
      <c r="AC46" s="51"/>
      <c r="AD46" s="52"/>
      <c r="AE46" s="52"/>
      <c r="AF46" s="53"/>
      <c r="AG46" s="42"/>
      <c r="AH46" s="74">
        <v>1.5</v>
      </c>
      <c r="AI46" s="74">
        <v>1.5</v>
      </c>
      <c r="AJ46" s="43"/>
      <c r="AK46" s="42"/>
      <c r="AL46" s="39"/>
      <c r="AM46" s="52"/>
      <c r="AN46" s="53"/>
      <c r="AO46" s="51"/>
      <c r="AP46" s="52"/>
      <c r="AQ46" s="52"/>
      <c r="AR46" s="53"/>
    </row>
    <row r="47" spans="1:44" ht="30" customHeight="1" thickBot="1" x14ac:dyDescent="0.3">
      <c r="A47" s="24" t="s">
        <v>53</v>
      </c>
      <c r="B47" s="97">
        <v>1</v>
      </c>
      <c r="C47" s="207">
        <v>3</v>
      </c>
      <c r="D47" s="207">
        <v>2</v>
      </c>
      <c r="E47" s="42"/>
      <c r="F47" s="39"/>
      <c r="G47" s="39"/>
      <c r="H47" s="43"/>
      <c r="I47" s="42"/>
      <c r="J47" s="39"/>
      <c r="K47" s="39"/>
      <c r="L47" s="43"/>
      <c r="M47" s="42"/>
      <c r="N47" s="39"/>
      <c r="O47" s="39"/>
      <c r="P47" s="43"/>
      <c r="Q47" s="127"/>
      <c r="R47" s="127"/>
      <c r="S47" s="127"/>
      <c r="T47" s="43"/>
      <c r="U47" s="42"/>
      <c r="V47" s="39"/>
      <c r="W47" s="39"/>
      <c r="X47" s="43"/>
      <c r="Y47" s="39"/>
      <c r="Z47" s="39"/>
      <c r="AA47" s="39"/>
      <c r="AB47" s="43"/>
      <c r="AC47" s="42"/>
      <c r="AD47" s="38">
        <v>1</v>
      </c>
      <c r="AE47" s="38">
        <v>1</v>
      </c>
      <c r="AF47" s="43"/>
      <c r="AG47" s="39"/>
      <c r="AH47" s="39"/>
      <c r="AI47" s="39"/>
      <c r="AJ47" s="43"/>
      <c r="AK47" s="39"/>
      <c r="AL47" s="39"/>
      <c r="AM47" s="39"/>
      <c r="AN47" s="43"/>
      <c r="AO47" s="42"/>
      <c r="AP47" s="39"/>
      <c r="AQ47" s="39"/>
      <c r="AR47" s="43"/>
    </row>
    <row r="48" spans="1:44" ht="30" customHeight="1" thickBot="1" x14ac:dyDescent="0.3">
      <c r="A48" s="24" t="s">
        <v>53</v>
      </c>
      <c r="B48" s="142" t="s">
        <v>25</v>
      </c>
      <c r="C48" s="207">
        <v>3</v>
      </c>
      <c r="D48" s="207">
        <v>3</v>
      </c>
      <c r="E48" s="42"/>
      <c r="F48" s="39"/>
      <c r="G48" s="39"/>
      <c r="H48" s="43"/>
      <c r="I48" s="42"/>
      <c r="J48" s="39"/>
      <c r="K48" s="39"/>
      <c r="L48" s="43"/>
      <c r="M48" s="42"/>
      <c r="N48" s="39"/>
      <c r="O48" s="39"/>
      <c r="P48" s="43"/>
      <c r="Q48" s="127"/>
      <c r="R48" s="127"/>
      <c r="S48" s="127"/>
      <c r="T48" s="43"/>
      <c r="U48" s="42"/>
      <c r="V48" s="39"/>
      <c r="W48" s="39"/>
      <c r="X48" s="43"/>
      <c r="Y48" s="39"/>
      <c r="Z48" s="39"/>
      <c r="AA48" s="39"/>
      <c r="AB48" s="43"/>
      <c r="AC48" s="42"/>
      <c r="AD48" s="39"/>
      <c r="AE48" s="39"/>
      <c r="AF48" s="43"/>
      <c r="AG48" s="42"/>
      <c r="AH48" s="39"/>
      <c r="AI48" s="39"/>
      <c r="AJ48" s="77">
        <v>1</v>
      </c>
      <c r="AK48" s="73">
        <v>1.75</v>
      </c>
      <c r="AL48" s="74">
        <v>0.25</v>
      </c>
      <c r="AM48" s="39"/>
      <c r="AN48" s="43"/>
      <c r="AO48" s="42"/>
      <c r="AP48" s="39"/>
      <c r="AQ48" s="39"/>
      <c r="AR48" s="43"/>
    </row>
    <row r="49" spans="1:44" ht="30" customHeight="1" thickBot="1" x14ac:dyDescent="0.3">
      <c r="A49" s="54" t="s">
        <v>64</v>
      </c>
      <c r="B49" s="98">
        <v>1</v>
      </c>
      <c r="C49" s="210">
        <v>4</v>
      </c>
      <c r="D49" s="208">
        <v>1.25</v>
      </c>
      <c r="E49" s="57"/>
      <c r="F49" s="55"/>
      <c r="G49" s="55"/>
      <c r="H49" s="56"/>
      <c r="I49" s="57"/>
      <c r="J49" s="55"/>
      <c r="K49" s="55"/>
      <c r="L49" s="56"/>
      <c r="M49" s="57"/>
      <c r="N49" s="55"/>
      <c r="O49" s="55"/>
      <c r="P49" s="56"/>
      <c r="Q49" s="127"/>
      <c r="R49" s="127"/>
      <c r="S49" s="127"/>
      <c r="T49" s="56"/>
      <c r="U49" s="57"/>
      <c r="V49" s="55"/>
      <c r="W49" s="55"/>
      <c r="X49" s="56"/>
      <c r="Y49" s="55"/>
      <c r="Z49" s="55"/>
      <c r="AA49" s="55"/>
      <c r="AB49" s="56"/>
      <c r="AC49" s="57"/>
      <c r="AD49" s="114">
        <v>0.5</v>
      </c>
      <c r="AE49" s="114">
        <v>0.75</v>
      </c>
      <c r="AF49" s="56"/>
      <c r="AG49" s="55"/>
      <c r="AH49" s="55"/>
      <c r="AI49" s="55"/>
      <c r="AJ49" s="56"/>
      <c r="AK49" s="55"/>
      <c r="AL49" s="55"/>
      <c r="AM49" s="55"/>
      <c r="AN49" s="56"/>
      <c r="AO49" s="57"/>
      <c r="AP49" s="55"/>
      <c r="AQ49" s="55"/>
      <c r="AR49" s="56"/>
    </row>
    <row r="50" spans="1:44" ht="30" customHeight="1" thickBot="1" x14ac:dyDescent="0.3">
      <c r="A50" s="54" t="s">
        <v>45</v>
      </c>
      <c r="B50" s="142" t="s">
        <v>25</v>
      </c>
      <c r="C50" s="210">
        <v>4</v>
      </c>
      <c r="D50" s="208">
        <v>4</v>
      </c>
      <c r="E50" s="57"/>
      <c r="F50" s="55"/>
      <c r="G50" s="55"/>
      <c r="H50" s="56"/>
      <c r="I50" s="57"/>
      <c r="J50" s="55"/>
      <c r="K50" s="55"/>
      <c r="L50" s="56"/>
      <c r="M50" s="57"/>
      <c r="N50" s="55"/>
      <c r="O50" s="55"/>
      <c r="P50" s="56"/>
      <c r="Q50" s="127"/>
      <c r="R50" s="127"/>
      <c r="S50" s="127"/>
      <c r="T50" s="56"/>
      <c r="U50" s="57"/>
      <c r="V50" s="55"/>
      <c r="W50" s="55"/>
      <c r="X50" s="56"/>
      <c r="Y50" s="55"/>
      <c r="Z50" s="55"/>
      <c r="AA50" s="55"/>
      <c r="AB50" s="56"/>
      <c r="AC50" s="57"/>
      <c r="AD50" s="55"/>
      <c r="AE50" s="55"/>
      <c r="AF50" s="56"/>
      <c r="AG50" s="57"/>
      <c r="AH50" s="55"/>
      <c r="AI50" s="55"/>
      <c r="AJ50" s="56"/>
      <c r="AK50" s="57"/>
      <c r="AL50" s="79">
        <v>1.5</v>
      </c>
      <c r="AM50" s="79">
        <v>1.75</v>
      </c>
      <c r="AN50" s="81">
        <v>0.75</v>
      </c>
      <c r="AO50" s="57"/>
      <c r="AP50" s="55"/>
      <c r="AQ50" s="55"/>
      <c r="AR50" s="56"/>
    </row>
    <row r="51" spans="1:44" ht="30" customHeight="1" thickBot="1" x14ac:dyDescent="0.3">
      <c r="A51" s="58" t="s">
        <v>46</v>
      </c>
      <c r="B51" s="99">
        <f>SUMPRODUCT(B52:B58, C52:C58) / SUM(C52:C58)</f>
        <v>0.46666666666666667</v>
      </c>
      <c r="C51" s="211">
        <v>8</v>
      </c>
      <c r="D51" s="209">
        <v>5.5</v>
      </c>
      <c r="E51" s="63"/>
      <c r="F51" s="60"/>
      <c r="G51" s="61"/>
      <c r="H51" s="62"/>
      <c r="I51" s="63"/>
      <c r="J51" s="60"/>
      <c r="K51" s="61"/>
      <c r="L51" s="62"/>
      <c r="M51" s="63"/>
      <c r="N51" s="60"/>
      <c r="O51" s="61"/>
      <c r="P51" s="62"/>
      <c r="Q51" s="127"/>
      <c r="R51" s="127"/>
      <c r="S51" s="127"/>
      <c r="T51" s="62"/>
      <c r="U51" s="63"/>
      <c r="V51" s="60"/>
      <c r="W51" s="61"/>
      <c r="X51" s="62"/>
      <c r="Y51" s="61"/>
      <c r="Z51" s="60"/>
      <c r="AA51" s="61"/>
      <c r="AB51" s="62"/>
      <c r="AC51" s="63"/>
      <c r="AD51" s="60"/>
      <c r="AE51" s="61"/>
      <c r="AF51" s="71"/>
      <c r="AG51" s="59"/>
      <c r="AH51" s="59"/>
      <c r="AI51" s="59"/>
      <c r="AJ51" s="71"/>
      <c r="AK51" s="63"/>
      <c r="AL51" s="61"/>
      <c r="AM51" s="61"/>
      <c r="AN51" s="116"/>
      <c r="AO51" s="63"/>
      <c r="AP51" s="61"/>
      <c r="AQ51" s="61"/>
      <c r="AR51" s="116"/>
    </row>
    <row r="52" spans="1:44" ht="30" customHeight="1" thickBot="1" x14ac:dyDescent="0.3">
      <c r="A52" s="27" t="s">
        <v>47</v>
      </c>
      <c r="B52" s="100">
        <v>1</v>
      </c>
      <c r="C52" s="207">
        <v>2</v>
      </c>
      <c r="D52" s="207">
        <v>1.75</v>
      </c>
      <c r="E52" s="42"/>
      <c r="F52" s="3"/>
      <c r="G52" s="39"/>
      <c r="H52" s="29"/>
      <c r="I52" s="42"/>
      <c r="J52" s="3"/>
      <c r="K52" s="39"/>
      <c r="L52" s="29"/>
      <c r="M52" s="42"/>
      <c r="N52" s="3"/>
      <c r="O52" s="39"/>
      <c r="P52" s="29"/>
      <c r="Q52" s="127"/>
      <c r="R52" s="127"/>
      <c r="S52" s="127"/>
      <c r="T52" s="29"/>
      <c r="U52" s="42"/>
      <c r="V52" s="3"/>
      <c r="W52" s="39"/>
      <c r="X52" s="29"/>
      <c r="Y52" s="39"/>
      <c r="Z52" s="3"/>
      <c r="AA52" s="39"/>
      <c r="AB52" s="29"/>
      <c r="AC52" s="42"/>
      <c r="AD52" s="3"/>
      <c r="AE52" s="39"/>
      <c r="AF52" s="140">
        <v>1.25</v>
      </c>
      <c r="AG52" s="65">
        <v>0.5</v>
      </c>
      <c r="AH52" s="3"/>
      <c r="AI52" s="39"/>
      <c r="AJ52" s="53"/>
      <c r="AK52" s="42"/>
      <c r="AL52" s="3"/>
      <c r="AM52" s="39"/>
      <c r="AN52" s="53"/>
      <c r="AO52" s="51"/>
      <c r="AP52" s="52"/>
      <c r="AQ52" s="52"/>
      <c r="AR52" s="53"/>
    </row>
    <row r="53" spans="1:44" ht="30" customHeight="1" thickBot="1" x14ac:dyDescent="0.3">
      <c r="A53" s="27" t="s">
        <v>47</v>
      </c>
      <c r="B53" s="142" t="s">
        <v>25</v>
      </c>
      <c r="C53" s="207">
        <v>2</v>
      </c>
      <c r="D53" s="207">
        <v>2</v>
      </c>
      <c r="E53" s="42"/>
      <c r="F53" s="3"/>
      <c r="G53" s="39"/>
      <c r="H53" s="29"/>
      <c r="I53" s="42"/>
      <c r="J53" s="3"/>
      <c r="K53" s="39"/>
      <c r="L53" s="29"/>
      <c r="M53" s="42"/>
      <c r="N53" s="3"/>
      <c r="O53" s="39"/>
      <c r="P53" s="29"/>
      <c r="Q53" s="127"/>
      <c r="R53" s="127"/>
      <c r="S53" s="127"/>
      <c r="T53" s="29"/>
      <c r="U53" s="42"/>
      <c r="V53" s="3"/>
      <c r="W53" s="39"/>
      <c r="X53" s="29"/>
      <c r="Y53" s="39"/>
      <c r="Z53" s="3"/>
      <c r="AA53" s="39"/>
      <c r="AB53" s="29"/>
      <c r="AC53" s="42"/>
      <c r="AD53" s="3"/>
      <c r="AE53" s="39"/>
      <c r="AF53" s="29"/>
      <c r="AG53" s="42"/>
      <c r="AH53" s="3"/>
      <c r="AI53" s="39"/>
      <c r="AJ53" s="29"/>
      <c r="AK53" s="42"/>
      <c r="AL53" s="3"/>
      <c r="AM53" s="39"/>
      <c r="AN53" s="82">
        <v>0.25</v>
      </c>
      <c r="AO53" s="73">
        <v>1.75</v>
      </c>
      <c r="AP53" s="3"/>
      <c r="AQ53" s="39"/>
      <c r="AR53" s="43"/>
    </row>
    <row r="54" spans="1:44" ht="30" customHeight="1" thickBot="1" x14ac:dyDescent="0.3">
      <c r="A54" s="27" t="s">
        <v>48</v>
      </c>
      <c r="B54" s="100">
        <v>1</v>
      </c>
      <c r="C54" s="207">
        <v>3</v>
      </c>
      <c r="D54" s="207">
        <v>3</v>
      </c>
      <c r="E54" s="42"/>
      <c r="F54" s="3"/>
      <c r="G54" s="39"/>
      <c r="H54" s="29"/>
      <c r="I54" s="42"/>
      <c r="J54" s="3"/>
      <c r="K54" s="39"/>
      <c r="L54" s="29"/>
      <c r="M54" s="42"/>
      <c r="N54" s="3"/>
      <c r="O54" s="39"/>
      <c r="P54" s="29"/>
      <c r="Q54" s="127"/>
      <c r="R54" s="127"/>
      <c r="S54" s="127"/>
      <c r="T54" s="29"/>
      <c r="U54" s="42"/>
      <c r="V54" s="3"/>
      <c r="W54" s="39"/>
      <c r="X54" s="29"/>
      <c r="Y54" s="39"/>
      <c r="Z54" s="3"/>
      <c r="AA54" s="39"/>
      <c r="AB54" s="29"/>
      <c r="AC54" s="42"/>
      <c r="AD54" s="3"/>
      <c r="AE54" s="39"/>
      <c r="AF54" s="140">
        <v>0.25</v>
      </c>
      <c r="AG54" s="65">
        <v>1.25</v>
      </c>
      <c r="AH54" s="141">
        <v>1.5</v>
      </c>
      <c r="AI54" s="39"/>
      <c r="AJ54" s="43"/>
      <c r="AK54" s="42"/>
      <c r="AL54" s="3"/>
      <c r="AM54" s="39"/>
      <c r="AN54" s="43"/>
      <c r="AO54" s="42"/>
      <c r="AP54" s="39"/>
      <c r="AQ54" s="39"/>
      <c r="AR54" s="53"/>
    </row>
    <row r="55" spans="1:44" ht="30" customHeight="1" thickBot="1" x14ac:dyDescent="0.3">
      <c r="A55" s="27" t="s">
        <v>48</v>
      </c>
      <c r="B55" s="142" t="s">
        <v>25</v>
      </c>
      <c r="C55" s="207">
        <v>3</v>
      </c>
      <c r="D55" s="207">
        <v>3</v>
      </c>
      <c r="E55" s="42"/>
      <c r="F55" s="3"/>
      <c r="G55" s="39"/>
      <c r="H55" s="29"/>
      <c r="I55" s="42"/>
      <c r="J55" s="3"/>
      <c r="K55" s="39"/>
      <c r="L55" s="29"/>
      <c r="M55" s="42"/>
      <c r="N55" s="3"/>
      <c r="O55" s="39"/>
      <c r="P55" s="29"/>
      <c r="Q55" s="127"/>
      <c r="R55" s="127"/>
      <c r="S55" s="127"/>
      <c r="T55" s="29"/>
      <c r="U55" s="42"/>
      <c r="V55" s="3"/>
      <c r="W55" s="39"/>
      <c r="X55" s="29"/>
      <c r="Y55" s="39"/>
      <c r="Z55" s="3"/>
      <c r="AA55" s="39"/>
      <c r="AB55" s="29"/>
      <c r="AC55" s="42"/>
      <c r="AD55" s="3"/>
      <c r="AE55" s="39"/>
      <c r="AF55" s="29"/>
      <c r="AG55" s="42"/>
      <c r="AH55" s="3"/>
      <c r="AI55" s="39"/>
      <c r="AJ55" s="29"/>
      <c r="AK55" s="42"/>
      <c r="AL55" s="3"/>
      <c r="AM55" s="39"/>
      <c r="AN55" s="29"/>
      <c r="AO55" s="42"/>
      <c r="AP55" s="83">
        <v>2</v>
      </c>
      <c r="AQ55" s="76">
        <v>1</v>
      </c>
      <c r="AR55" s="43"/>
    </row>
    <row r="56" spans="1:44" ht="30" customHeight="1" thickBot="1" x14ac:dyDescent="0.3">
      <c r="A56" s="27" t="s">
        <v>54</v>
      </c>
      <c r="B56" s="100">
        <v>1</v>
      </c>
      <c r="C56" s="207">
        <v>2</v>
      </c>
      <c r="D56" s="207">
        <v>0.75</v>
      </c>
      <c r="E56" s="42"/>
      <c r="F56" s="3"/>
      <c r="G56" s="39"/>
      <c r="H56" s="29"/>
      <c r="I56" s="42"/>
      <c r="J56" s="3"/>
      <c r="K56" s="39"/>
      <c r="L56" s="29"/>
      <c r="M56" s="42"/>
      <c r="N56" s="3"/>
      <c r="O56" s="39"/>
      <c r="P56" s="29"/>
      <c r="Q56" s="127"/>
      <c r="R56" s="127"/>
      <c r="S56" s="127"/>
      <c r="T56" s="29"/>
      <c r="U56" s="42"/>
      <c r="V56" s="3"/>
      <c r="W56" s="39"/>
      <c r="X56" s="29"/>
      <c r="Y56" s="39"/>
      <c r="Z56" s="3"/>
      <c r="AA56" s="39"/>
      <c r="AB56" s="29"/>
      <c r="AC56" s="42"/>
      <c r="AD56" s="3"/>
      <c r="AE56" s="39"/>
      <c r="AF56" s="29"/>
      <c r="AG56" s="42"/>
      <c r="AH56" s="3"/>
      <c r="AI56" s="38">
        <v>0.75</v>
      </c>
      <c r="AJ56" s="56"/>
      <c r="AK56" s="42"/>
      <c r="AL56" s="3"/>
      <c r="AM56" s="39"/>
      <c r="AN56" s="56"/>
      <c r="AO56" s="57"/>
      <c r="AP56" s="55"/>
      <c r="AQ56" s="55"/>
      <c r="AR56" s="53"/>
    </row>
    <row r="57" spans="1:44" ht="30" customHeight="1" thickBot="1" x14ac:dyDescent="0.3">
      <c r="A57" s="27" t="s">
        <v>54</v>
      </c>
      <c r="B57" s="142" t="s">
        <v>25</v>
      </c>
      <c r="C57" s="207">
        <v>2</v>
      </c>
      <c r="D57" s="207">
        <v>2</v>
      </c>
      <c r="E57" s="42"/>
      <c r="F57" s="3"/>
      <c r="G57" s="39"/>
      <c r="H57" s="29"/>
      <c r="I57" s="42"/>
      <c r="J57" s="3"/>
      <c r="K57" s="39"/>
      <c r="L57" s="29"/>
      <c r="M57" s="42"/>
      <c r="N57" s="3"/>
      <c r="O57" s="39"/>
      <c r="P57" s="29"/>
      <c r="Q57" s="127"/>
      <c r="R57" s="127"/>
      <c r="S57" s="127"/>
      <c r="T57" s="29"/>
      <c r="U57" s="42"/>
      <c r="V57" s="3"/>
      <c r="W57" s="39"/>
      <c r="X57" s="29"/>
      <c r="Y57" s="39"/>
      <c r="Z57" s="3"/>
      <c r="AA57" s="39"/>
      <c r="AB57" s="29"/>
      <c r="AC57" s="42"/>
      <c r="AD57" s="3"/>
      <c r="AE57" s="39"/>
      <c r="AF57" s="29"/>
      <c r="AG57" s="42"/>
      <c r="AH57" s="3"/>
      <c r="AI57" s="39"/>
      <c r="AJ57" s="29"/>
      <c r="AK57" s="42"/>
      <c r="AL57" s="3"/>
      <c r="AM57" s="39"/>
      <c r="AN57" s="29"/>
      <c r="AO57" s="42"/>
      <c r="AQ57" s="74">
        <v>1</v>
      </c>
      <c r="AR57" s="74">
        <v>1</v>
      </c>
    </row>
    <row r="58" spans="1:44" ht="30" customHeight="1" thickBot="1" x14ac:dyDescent="0.3">
      <c r="A58" s="136" t="s">
        <v>63</v>
      </c>
      <c r="B58" s="137">
        <v>0</v>
      </c>
      <c r="C58" s="208">
        <v>1</v>
      </c>
      <c r="D58" s="208">
        <v>0</v>
      </c>
      <c r="E58" s="48"/>
      <c r="F58" s="138"/>
      <c r="G58" s="46"/>
      <c r="H58" s="139"/>
      <c r="I58" s="48"/>
      <c r="J58" s="138"/>
      <c r="K58" s="46"/>
      <c r="L58" s="139"/>
      <c r="M58" s="48"/>
      <c r="N58" s="138"/>
      <c r="O58" s="46"/>
      <c r="P58" s="139"/>
      <c r="Q58" s="127"/>
      <c r="R58" s="127"/>
      <c r="S58" s="127"/>
      <c r="T58" s="139"/>
      <c r="U58" s="48"/>
      <c r="V58" s="138"/>
      <c r="W58" s="46"/>
      <c r="X58" s="139"/>
      <c r="Y58" s="46"/>
      <c r="Z58" s="138"/>
      <c r="AA58" s="46"/>
      <c r="AB58" s="139"/>
      <c r="AC58" s="48"/>
      <c r="AD58" s="138"/>
      <c r="AE58" s="46"/>
      <c r="AF58" s="139"/>
      <c r="AG58" s="48"/>
      <c r="AH58" s="138"/>
      <c r="AI58" s="46"/>
      <c r="AJ58" s="139"/>
      <c r="AK58" s="48"/>
      <c r="AL58" s="138"/>
      <c r="AM58" s="46"/>
      <c r="AN58" s="139"/>
      <c r="AO58" s="48"/>
      <c r="AP58" s="138"/>
      <c r="AQ58" s="46"/>
      <c r="AR58" s="47"/>
    </row>
    <row r="59" spans="1:44" ht="30" customHeight="1" thickBot="1" x14ac:dyDescent="0.3">
      <c r="A59" s="27" t="s">
        <v>49</v>
      </c>
      <c r="B59" s="142" t="s">
        <v>25</v>
      </c>
      <c r="C59" s="207">
        <v>1</v>
      </c>
      <c r="D59" s="207">
        <v>1</v>
      </c>
      <c r="E59" s="42"/>
      <c r="F59" s="3"/>
      <c r="G59" s="39"/>
      <c r="H59" s="29"/>
      <c r="I59" s="42"/>
      <c r="J59" s="3"/>
      <c r="K59" s="39"/>
      <c r="L59" s="29"/>
      <c r="M59" s="42"/>
      <c r="N59" s="3"/>
      <c r="O59" s="39"/>
      <c r="P59" s="29"/>
      <c r="Q59" s="127"/>
      <c r="R59" s="127"/>
      <c r="S59" s="127"/>
      <c r="T59" s="29"/>
      <c r="U59" s="42"/>
      <c r="V59" s="3"/>
      <c r="W59" s="39"/>
      <c r="X59" s="29"/>
      <c r="Y59" s="39"/>
      <c r="Z59" s="3"/>
      <c r="AA59" s="39"/>
      <c r="AB59" s="29"/>
      <c r="AC59" s="42"/>
      <c r="AD59" s="3"/>
      <c r="AE59" s="39"/>
      <c r="AF59" s="29"/>
      <c r="AG59" s="42"/>
      <c r="AH59" s="3"/>
      <c r="AI59" s="39"/>
      <c r="AJ59" s="29"/>
      <c r="AK59" s="42"/>
      <c r="AL59" s="3"/>
      <c r="AM59" s="39"/>
      <c r="AN59" s="29"/>
      <c r="AO59" s="42"/>
      <c r="AP59" s="3"/>
      <c r="AQ59" s="39"/>
      <c r="AR59" s="77">
        <v>1</v>
      </c>
    </row>
  </sheetData>
  <mergeCells count="25">
    <mergeCell ref="Y5:AB5"/>
    <mergeCell ref="E4:H4"/>
    <mergeCell ref="I4:L4"/>
    <mergeCell ref="M4:P4"/>
    <mergeCell ref="Q4:T4"/>
    <mergeCell ref="U4:X4"/>
    <mergeCell ref="Y4:AB4"/>
    <mergeCell ref="E5:H5"/>
    <mergeCell ref="I5:L5"/>
    <mergeCell ref="M5:P5"/>
    <mergeCell ref="Q5:T5"/>
    <mergeCell ref="U5:X5"/>
    <mergeCell ref="AC5:AF5"/>
    <mergeCell ref="AG5:AJ5"/>
    <mergeCell ref="AK5:AN5"/>
    <mergeCell ref="AO5:AR5"/>
    <mergeCell ref="AC4:AF4"/>
    <mergeCell ref="AG4:AJ4"/>
    <mergeCell ref="AK4:AN4"/>
    <mergeCell ref="AO4:AR4"/>
    <mergeCell ref="D2:D3"/>
    <mergeCell ref="E2:E3"/>
    <mergeCell ref="F2:F3"/>
    <mergeCell ref="G2:G3"/>
    <mergeCell ref="H2:H3"/>
  </mergeCells>
  <conditionalFormatting sqref="B7:B9 B11 B13 B15:B16 B18 B20 B22 B24:B25 B27:B28 B30 B32 B34 B36 B38 B40 B42 B44:B45 B47 B49 B51:B52 B54 B56 B58">
    <cfRule type="dataBar" priority="8">
      <dataBar>
        <cfvo type="num" val="0"/>
        <cfvo type="num" val="1"/>
        <color theme="0" tint="-0.249977111117893"/>
      </dataBar>
      <extLst>
        <ext xmlns:x14="http://schemas.microsoft.com/office/spreadsheetml/2009/9/main" uri="{B025F937-C7B1-47D3-B67F-A62EFF666E3E}">
          <x14:id>{C456342D-AB5E-40CE-873A-4C7444120C52}</x14:id>
        </ext>
      </extLst>
    </cfRule>
  </conditionalFormatting>
  <conditionalFormatting sqref="B10">
    <cfRule type="dataBar" priority="4">
      <dataBar>
        <cfvo type="num" val="0"/>
        <cfvo type="num" val="1"/>
        <color theme="0" tint="-0.249977111117893"/>
      </dataBar>
      <extLst>
        <ext xmlns:x14="http://schemas.microsoft.com/office/spreadsheetml/2009/9/main" uri="{B025F937-C7B1-47D3-B67F-A62EFF666E3E}">
          <x14:id>{2569CDEF-C871-43C2-ADB9-F885C84755FF}</x14:id>
        </ext>
      </extLst>
    </cfRule>
  </conditionalFormatting>
  <conditionalFormatting sqref="B12 B23 B21 B19 B17 B14">
    <cfRule type="dataBar" priority="3">
      <dataBar>
        <cfvo type="num" val="0"/>
        <cfvo type="num" val="1"/>
        <color theme="0" tint="-0.249977111117893"/>
      </dataBar>
      <extLst>
        <ext xmlns:x14="http://schemas.microsoft.com/office/spreadsheetml/2009/9/main" uri="{B025F937-C7B1-47D3-B67F-A62EFF666E3E}">
          <x14:id>{8FE924AA-0D72-4D84-AD3B-9CA0C806F501}</x14:id>
        </ext>
      </extLst>
    </cfRule>
  </conditionalFormatting>
  <conditionalFormatting sqref="B26 B48 B46 B43 B41 B39 B37 B35 B33 B31 B29">
    <cfRule type="dataBar" priority="2">
      <dataBar>
        <cfvo type="num" val="0"/>
        <cfvo type="num" val="1"/>
        <color theme="0" tint="-0.249977111117893"/>
      </dataBar>
      <extLst>
        <ext xmlns:x14="http://schemas.microsoft.com/office/spreadsheetml/2009/9/main" uri="{B025F937-C7B1-47D3-B67F-A62EFF666E3E}">
          <x14:id>{83291B85-6225-4B06-8D02-171BFD152419}</x14:id>
        </ext>
      </extLst>
    </cfRule>
  </conditionalFormatting>
  <conditionalFormatting sqref="B50 B59 B57 B55 B53">
    <cfRule type="dataBar" priority="1">
      <dataBar>
        <cfvo type="num" val="0"/>
        <cfvo type="num" val="1"/>
        <color theme="0" tint="-0.249977111117893"/>
      </dataBar>
      <extLst>
        <ext xmlns:x14="http://schemas.microsoft.com/office/spreadsheetml/2009/9/main" uri="{B025F937-C7B1-47D3-B67F-A62EFF666E3E}">
          <x14:id>{5CF2CE0B-B69A-46F5-8E99-F4C8F33BF6B3}</x14:id>
        </ext>
      </extLst>
    </cfRule>
  </conditionalFormatting>
  <conditionalFormatting sqref="E6">
    <cfRule type="colorScale" priority="6">
      <colorScale>
        <cfvo type="min"/>
        <cfvo type="percentile" val="50"/>
        <cfvo type="max"/>
        <color rgb="FF00B050"/>
        <color rgb="FFFFEB84"/>
        <color rgb="FFFFFF00"/>
      </colorScale>
    </cfRule>
    <cfRule type="colorScale" priority="7">
      <colorScale>
        <cfvo type="min"/>
        <cfvo type="max"/>
        <color rgb="FFFFEF9C"/>
        <color rgb="FF63BE7B"/>
      </colorScale>
    </cfRule>
  </conditionalFormatting>
  <conditionalFormatting sqref="E6:G6 X6 AR6">
    <cfRule type="expression" dxfId="1" priority="10">
      <formula>AND(TODAY()&gt;=#REF!,TODAY()&lt;#REF!)</formula>
    </cfRule>
  </conditionalFormatting>
  <conditionalFormatting sqref="H6:W6 Y6:AQ6">
    <cfRule type="expression" dxfId="0" priority="9">
      <formula>AND(TODAY()&gt;=I$1,TODAY()&lt;#REF!)</formula>
    </cfRule>
  </conditionalFormatting>
  <conditionalFormatting sqref="AC44:AE44">
    <cfRule type="dataBar" priority="5">
      <dataBar>
        <cfvo type="num" val="0"/>
        <cfvo type="num" val="1"/>
        <color theme="0" tint="-0.249977111117893"/>
      </dataBar>
      <extLst>
        <ext xmlns:x14="http://schemas.microsoft.com/office/spreadsheetml/2009/9/main" uri="{B025F937-C7B1-47D3-B67F-A62EFF666E3E}">
          <x14:id>{126BA3E3-9E99-40B8-A4CF-7BD5971C8BC2}</x14:id>
        </ext>
      </extLst>
    </cfRule>
  </conditionalFormatting>
  <dataValidations count="1">
    <dataValidation type="whole" operator="greaterThanOrEqual" allowBlank="1" showInputMessage="1" promptTitle="Woche anzeigen" prompt="Das Ändern dieser Zahl bewirkt ein Scrollen in der Gantt-Diagrammansicht." sqref="E2:G2" xr:uid="{74A3235F-4B54-4818-B458-019E53CEFB74}">
      <formula1>1</formula1>
    </dataValidation>
  </dataValidations>
  <printOptions horizontalCentered="1"/>
  <pageMargins left="0.35" right="0.35" top="0.35" bottom="0.5" header="0.3" footer="0.3"/>
  <pageSetup paperSize="9" scale="6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C456342D-AB5E-40CE-873A-4C7444120C52}">
            <x14:dataBar minLength="0" maxLength="100" gradient="0">
              <x14:cfvo type="num">
                <xm:f>0</xm:f>
              </x14:cfvo>
              <x14:cfvo type="num">
                <xm:f>1</xm:f>
              </x14:cfvo>
              <x14:negativeFillColor rgb="FFFF0000"/>
              <x14:axisColor rgb="FF000000"/>
            </x14:dataBar>
          </x14:cfRule>
          <xm:sqref>B7:B9 B11 B13 B15:B16 B18 B20 B22 B24:B25 B27:B28 B30 B32 B34 B36 B38 B40 B42 B44:B45 B47 B49 B51:B52 B54 B56 B58</xm:sqref>
        </x14:conditionalFormatting>
        <x14:conditionalFormatting xmlns:xm="http://schemas.microsoft.com/office/excel/2006/main">
          <x14:cfRule type="dataBar" id="{2569CDEF-C871-43C2-ADB9-F885C84755FF}">
            <x14:dataBar minLength="0" maxLength="100" gradient="0">
              <x14:cfvo type="num">
                <xm:f>0</xm:f>
              </x14:cfvo>
              <x14:cfvo type="num">
                <xm:f>1</xm:f>
              </x14:cfvo>
              <x14:negativeFillColor rgb="FFFF0000"/>
              <x14:axisColor rgb="FF000000"/>
            </x14:dataBar>
          </x14:cfRule>
          <xm:sqref>B10</xm:sqref>
        </x14:conditionalFormatting>
        <x14:conditionalFormatting xmlns:xm="http://schemas.microsoft.com/office/excel/2006/main">
          <x14:cfRule type="dataBar" id="{8FE924AA-0D72-4D84-AD3B-9CA0C806F501}">
            <x14:dataBar minLength="0" maxLength="100" gradient="0">
              <x14:cfvo type="num">
                <xm:f>0</xm:f>
              </x14:cfvo>
              <x14:cfvo type="num">
                <xm:f>1</xm:f>
              </x14:cfvo>
              <x14:negativeFillColor rgb="FFFF0000"/>
              <x14:axisColor rgb="FF000000"/>
            </x14:dataBar>
          </x14:cfRule>
          <xm:sqref>B12 B23 B21 B19 B17 B14</xm:sqref>
        </x14:conditionalFormatting>
        <x14:conditionalFormatting xmlns:xm="http://schemas.microsoft.com/office/excel/2006/main">
          <x14:cfRule type="dataBar" id="{83291B85-6225-4B06-8D02-171BFD152419}">
            <x14:dataBar minLength="0" maxLength="100" gradient="0">
              <x14:cfvo type="num">
                <xm:f>0</xm:f>
              </x14:cfvo>
              <x14:cfvo type="num">
                <xm:f>1</xm:f>
              </x14:cfvo>
              <x14:negativeFillColor rgb="FFFF0000"/>
              <x14:axisColor rgb="FF000000"/>
            </x14:dataBar>
          </x14:cfRule>
          <xm:sqref>B26 B48 B46 B43 B41 B39 B37 B35 B33 B31 B29</xm:sqref>
        </x14:conditionalFormatting>
        <x14:conditionalFormatting xmlns:xm="http://schemas.microsoft.com/office/excel/2006/main">
          <x14:cfRule type="dataBar" id="{5CF2CE0B-B69A-46F5-8E99-F4C8F33BF6B3}">
            <x14:dataBar minLength="0" maxLength="100" gradient="0">
              <x14:cfvo type="num">
                <xm:f>0</xm:f>
              </x14:cfvo>
              <x14:cfvo type="num">
                <xm:f>1</xm:f>
              </x14:cfvo>
              <x14:negativeFillColor rgb="FFFF0000"/>
              <x14:axisColor rgb="FF000000"/>
            </x14:dataBar>
          </x14:cfRule>
          <xm:sqref>B50 B59 B57 B55 B53</xm:sqref>
        </x14:conditionalFormatting>
        <x14:conditionalFormatting xmlns:xm="http://schemas.microsoft.com/office/excel/2006/main">
          <x14:cfRule type="dataBar" id="{126BA3E3-9E99-40B8-A4CF-7BD5971C8BC2}">
            <x14:dataBar minLength="0" maxLength="100" gradient="0">
              <x14:cfvo type="num">
                <xm:f>0</xm:f>
              </x14:cfvo>
              <x14:cfvo type="num">
                <xm:f>1</xm:f>
              </x14:cfvo>
              <x14:negativeFillColor rgb="FFFF0000"/>
              <x14:axisColor rgb="FF000000"/>
            </x14:dataBar>
          </x14:cfRule>
          <xm:sqref>AC44:AE44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election activeCell="A3" sqref="A3"/>
    </sheetView>
  </sheetViews>
  <sheetFormatPr defaultColWidth="9.140625" defaultRowHeight="12.75" x14ac:dyDescent="0.2"/>
  <cols>
    <col min="1" max="1" width="87.140625" style="6" customWidth="1"/>
    <col min="2" max="16384" width="9.140625" style="1"/>
  </cols>
  <sheetData>
    <row r="1" spans="1:2" ht="46.5" customHeight="1" x14ac:dyDescent="0.2"/>
    <row r="2" spans="1:2" s="8" customFormat="1" ht="15.75" x14ac:dyDescent="0.25">
      <c r="A2" s="7" t="s">
        <v>0</v>
      </c>
      <c r="B2" s="7"/>
    </row>
    <row r="3" spans="1:2" s="12" customFormat="1" ht="27" customHeight="1" x14ac:dyDescent="0.25">
      <c r="A3" s="23" t="s">
        <v>1</v>
      </c>
      <c r="B3" s="13"/>
    </row>
    <row r="4" spans="1:2" s="9" customFormat="1" ht="26.25" x14ac:dyDescent="0.4">
      <c r="A4" s="10" t="s">
        <v>2</v>
      </c>
    </row>
    <row r="5" spans="1:2" ht="74.099999999999994" customHeight="1" x14ac:dyDescent="0.2">
      <c r="A5" s="11" t="s">
        <v>3</v>
      </c>
    </row>
    <row r="6" spans="1:2" ht="26.25" customHeight="1" x14ac:dyDescent="0.2">
      <c r="A6" s="10" t="s">
        <v>4</v>
      </c>
    </row>
    <row r="7" spans="1:2" s="6" customFormat="1" ht="204.95" customHeight="1" x14ac:dyDescent="0.25">
      <c r="A7" s="15" t="s">
        <v>5</v>
      </c>
    </row>
    <row r="8" spans="1:2" s="9" customFormat="1" ht="26.25" x14ac:dyDescent="0.4">
      <c r="A8" s="10" t="s">
        <v>6</v>
      </c>
    </row>
    <row r="9" spans="1:2" ht="75" x14ac:dyDescent="0.2">
      <c r="A9" s="11" t="s">
        <v>7</v>
      </c>
    </row>
    <row r="10" spans="1:2" s="6" customFormat="1" ht="27.95" customHeight="1" x14ac:dyDescent="0.25">
      <c r="A10" s="14" t="s">
        <v>8</v>
      </c>
    </row>
    <row r="11" spans="1:2" s="9" customFormat="1" ht="26.25" x14ac:dyDescent="0.4">
      <c r="A11" s="10" t="s">
        <v>9</v>
      </c>
    </row>
    <row r="12" spans="1:2" ht="45" x14ac:dyDescent="0.2">
      <c r="A12" s="11" t="s">
        <v>10</v>
      </c>
    </row>
    <row r="13" spans="1:2" s="6" customFormat="1" ht="27.95" customHeight="1" x14ac:dyDescent="0.25">
      <c r="A13" s="14" t="s">
        <v>11</v>
      </c>
    </row>
    <row r="14" spans="1:2" s="9" customFormat="1" ht="26.25" x14ac:dyDescent="0.4">
      <c r="A14" s="10" t="s">
        <v>12</v>
      </c>
    </row>
    <row r="15" spans="1:2" ht="75" customHeight="1" x14ac:dyDescent="0.2">
      <c r="A15" s="11" t="s">
        <v>13</v>
      </c>
    </row>
    <row r="16" spans="1:2" ht="90" x14ac:dyDescent="0.2">
      <c r="A16" s="11" t="s">
        <v>14</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FCF048E0986C15438F7A127842D0194A" ma:contentTypeVersion="4" ma:contentTypeDescription="Ein neues Dokument erstellen." ma:contentTypeScope="" ma:versionID="7cab3d809e4a910b1c584eedef949ce5">
  <xsd:schema xmlns:xsd="http://www.w3.org/2001/XMLSchema" xmlns:xs="http://www.w3.org/2001/XMLSchema" xmlns:p="http://schemas.microsoft.com/office/2006/metadata/properties" xmlns:ns3="2853aef8-30e6-4fd3-8cd7-0e6e5ead6b25" targetNamespace="http://schemas.microsoft.com/office/2006/metadata/properties" ma:root="true" ma:fieldsID="f65b7f7a473b6f476768514c8a355f09" ns3:_="">
    <xsd:import namespace="2853aef8-30e6-4fd3-8cd7-0e6e5ead6b25"/>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853aef8-30e6-4fd3-8cd7-0e6e5ead6b25"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E44D37-32CE-46BD-B496-8A4726A23AD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853aef8-30e6-4fd3-8cd7-0e6e5ead6b2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144944C-1F1D-4162-962A-96F3FC8455D8}">
  <ds:schemaRefs>
    <ds:schemaRef ds:uri="http://purl.org/dc/dcmitype/"/>
    <ds:schemaRef ds:uri="http://purl.org/dc/terms/"/>
    <ds:schemaRef ds:uri="http://schemas.microsoft.com/office/2006/documentManagement/types"/>
    <ds:schemaRef ds:uri="http://schemas.microsoft.com/office/2006/metadata/properties"/>
    <ds:schemaRef ds:uri="http://schemas.microsoft.com/office/infopath/2007/PartnerControls"/>
    <ds:schemaRef ds:uri="2853aef8-30e6-4fd3-8cd7-0e6e5ead6b25"/>
    <ds:schemaRef ds:uri="http://purl.org/dc/elements/1.1/"/>
    <ds:schemaRef ds:uri="http://www.w3.org/XML/1998/namespace"/>
    <ds:schemaRef ds:uri="http://schemas.openxmlformats.org/package/2006/metadata/core-properties"/>
  </ds:schemaRefs>
</ds:datastoreItem>
</file>

<file path=customXml/itemProps3.xml><?xml version="1.0" encoding="utf-8"?>
<ds:datastoreItem xmlns:ds="http://schemas.openxmlformats.org/officeDocument/2006/customXml" ds:itemID="{8FE8ED85-58B3-4608-8E91-0433556D50CE}">
  <ds:schemaRefs>
    <ds:schemaRef ds:uri="http://schemas.microsoft.com/sharepoint/v3/contenttype/forms"/>
  </ds:schemaRefs>
</ds:datastoreItem>
</file>

<file path=docMetadata/LabelInfo.xml><?xml version="1.0" encoding="utf-8"?>
<clbl:labelList xmlns:clbl="http://schemas.microsoft.com/office/2020/mipLabelMetadata">
  <clbl:label id="{7b4c4ed3-e3fa-42f6-b1f6-2820b014570a}" enabled="1" method="Standard" siteId="{9e3cc295-461f-41c6-9bf4-f0d2c086e9a1}"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Projektplan</vt:lpstr>
      <vt:lpstr>Sheet1</vt:lpstr>
      <vt:lpstr>Soll Projektplan</vt:lpstr>
      <vt:lpstr>Info</vt:lpstr>
      <vt:lpstr>Projektplan!Print_Titles</vt:lpstr>
      <vt:lpstr>'Soll Projektplan'!Print_Titles</vt:lpstr>
      <vt:lpstr>Projektplan!task_progress</vt:lpstr>
      <vt:lpstr>'Soll Projektplan'!task_progress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2026-02-26T08:55:55Z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0x010100FCF048E0986C15438F7A127842D0194A</vt:lpwstr>
  </property>
</Properties>
</file>